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7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81aae12b81e33a/^.Documents/RTCC EM-tips/"/>
    </mc:Choice>
  </mc:AlternateContent>
  <bookViews>
    <workbookView xWindow="1000" yWindow="460" windowWidth="24600" windowHeight="15540" tabRatio="500" activeTab="10"/>
  </bookViews>
  <sheets>
    <sheet name="Resultat" sheetId="2" r:id="rId1"/>
    <sheet name="Grupper" sheetId="4" r:id="rId2"/>
    <sheet name="Poängställning" sheetId="9" r:id="rId3"/>
    <sheet name="Placering" sheetId="11" r:id="rId4"/>
    <sheet name="Sortering" sheetId="10" r:id="rId5"/>
    <sheet name="Tabeller" sheetId="7" r:id="rId6"/>
    <sheet name="Jocke" sheetId="5" r:id="rId7"/>
    <sheet name="Markus" sheetId="6" r:id="rId8"/>
    <sheet name="Rickard" sheetId="8" r:id="rId9"/>
    <sheet name="Tomas" sheetId="12" r:id="rId10"/>
    <sheet name="Kalle" sheetId="16" r:id="rId11"/>
    <sheet name="Mall" sheetId="15" r:id="rId12"/>
  </sheets>
  <definedNames>
    <definedName name="_xlnm._FilterDatabase" localSheetId="1" hidden="1">Grupper!$B$15:$T$19</definedName>
    <definedName name="_xlnm._FilterDatabase" localSheetId="6" hidden="1">Jocke!$A$12:$Y$12</definedName>
    <definedName name="_xlnm._FilterDatabase" localSheetId="10" hidden="1">Kalle!$A$12:$Y$12</definedName>
    <definedName name="_xlnm._FilterDatabase" localSheetId="11" hidden="1">Mall!$A$12:$Y$12</definedName>
    <definedName name="_xlnm._FilterDatabase" localSheetId="7" hidden="1">Markus!$A$12:$Y$12</definedName>
    <definedName name="_xlnm._FilterDatabase" localSheetId="0" hidden="1">Resultat!$A$12:$X$12</definedName>
    <definedName name="_xlnm._FilterDatabase" localSheetId="8" hidden="1">Rickard!$A$12:$Y$12</definedName>
    <definedName name="_xlnm._FilterDatabase" localSheetId="9" hidden="1">Tomas!$A$12:$Y$12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3" i="16" l="1"/>
  <c r="F397" i="7"/>
  <c r="F452" i="7"/>
  <c r="F12" i="7"/>
  <c r="B397" i="7"/>
  <c r="B452" i="7"/>
  <c r="B12" i="7"/>
  <c r="C397" i="7"/>
  <c r="C452" i="7"/>
  <c r="C12" i="7"/>
  <c r="D397" i="7"/>
  <c r="D452" i="7"/>
  <c r="D12" i="7"/>
  <c r="E397" i="7"/>
  <c r="E452" i="7"/>
  <c r="E12" i="7"/>
  <c r="F232" i="7"/>
  <c r="K14" i="16"/>
  <c r="F398" i="7"/>
  <c r="F453" i="7"/>
  <c r="F13" i="7"/>
  <c r="B398" i="7"/>
  <c r="B453" i="7"/>
  <c r="B13" i="7"/>
  <c r="C398" i="7"/>
  <c r="C453" i="7"/>
  <c r="C13" i="7"/>
  <c r="D398" i="7"/>
  <c r="D453" i="7"/>
  <c r="D13" i="7"/>
  <c r="E398" i="7"/>
  <c r="E453" i="7"/>
  <c r="E13" i="7"/>
  <c r="F233" i="7"/>
  <c r="K15" i="16"/>
  <c r="F399" i="7"/>
  <c r="F454" i="7"/>
  <c r="F14" i="7"/>
  <c r="B399" i="7"/>
  <c r="B454" i="7"/>
  <c r="B14" i="7"/>
  <c r="C399" i="7"/>
  <c r="C454" i="7"/>
  <c r="C14" i="7"/>
  <c r="D399" i="7"/>
  <c r="D454" i="7"/>
  <c r="D14" i="7"/>
  <c r="E399" i="7"/>
  <c r="E454" i="7"/>
  <c r="E14" i="7"/>
  <c r="F234" i="7"/>
  <c r="K16" i="16"/>
  <c r="F400" i="7"/>
  <c r="F455" i="7"/>
  <c r="F15" i="7"/>
  <c r="B400" i="7"/>
  <c r="B455" i="7"/>
  <c r="B15" i="7"/>
  <c r="C400" i="7"/>
  <c r="C455" i="7"/>
  <c r="C15" i="7"/>
  <c r="D400" i="7"/>
  <c r="D455" i="7"/>
  <c r="D15" i="7"/>
  <c r="E400" i="7"/>
  <c r="E455" i="7"/>
  <c r="E15" i="7"/>
  <c r="F235" i="7"/>
  <c r="K17" i="16"/>
  <c r="F401" i="7"/>
  <c r="F456" i="7"/>
  <c r="F16" i="7"/>
  <c r="B401" i="7"/>
  <c r="B456" i="7"/>
  <c r="B16" i="7"/>
  <c r="C401" i="7"/>
  <c r="C456" i="7"/>
  <c r="C16" i="7"/>
  <c r="D401" i="7"/>
  <c r="D456" i="7"/>
  <c r="D16" i="7"/>
  <c r="E401" i="7"/>
  <c r="E456" i="7"/>
  <c r="E16" i="7"/>
  <c r="F236" i="7"/>
  <c r="K18" i="16"/>
  <c r="F402" i="7"/>
  <c r="F457" i="7"/>
  <c r="F17" i="7"/>
  <c r="B402" i="7"/>
  <c r="B457" i="7"/>
  <c r="B17" i="7"/>
  <c r="C402" i="7"/>
  <c r="C457" i="7"/>
  <c r="C17" i="7"/>
  <c r="D402" i="7"/>
  <c r="D457" i="7"/>
  <c r="D17" i="7"/>
  <c r="E402" i="7"/>
  <c r="E457" i="7"/>
  <c r="E17" i="7"/>
  <c r="F237" i="7"/>
  <c r="K19" i="16"/>
  <c r="F403" i="7"/>
  <c r="F458" i="7"/>
  <c r="F18" i="7"/>
  <c r="B403" i="7"/>
  <c r="B458" i="7"/>
  <c r="B18" i="7"/>
  <c r="C403" i="7"/>
  <c r="C458" i="7"/>
  <c r="C18" i="7"/>
  <c r="D403" i="7"/>
  <c r="D458" i="7"/>
  <c r="D18" i="7"/>
  <c r="E403" i="7"/>
  <c r="E458" i="7"/>
  <c r="E18" i="7"/>
  <c r="F238" i="7"/>
  <c r="K20" i="16"/>
  <c r="F404" i="7"/>
  <c r="F459" i="7"/>
  <c r="F19" i="7"/>
  <c r="B404" i="7"/>
  <c r="B459" i="7"/>
  <c r="B19" i="7"/>
  <c r="C404" i="7"/>
  <c r="C459" i="7"/>
  <c r="C19" i="7"/>
  <c r="D404" i="7"/>
  <c r="D459" i="7"/>
  <c r="D19" i="7"/>
  <c r="E404" i="7"/>
  <c r="E459" i="7"/>
  <c r="E19" i="7"/>
  <c r="F239" i="7"/>
  <c r="K21" i="16"/>
  <c r="F405" i="7"/>
  <c r="F460" i="7"/>
  <c r="F20" i="7"/>
  <c r="B405" i="7"/>
  <c r="B460" i="7"/>
  <c r="B20" i="7"/>
  <c r="C405" i="7"/>
  <c r="C460" i="7"/>
  <c r="C20" i="7"/>
  <c r="D405" i="7"/>
  <c r="D460" i="7"/>
  <c r="D20" i="7"/>
  <c r="E405" i="7"/>
  <c r="E460" i="7"/>
  <c r="E20" i="7"/>
  <c r="F240" i="7"/>
  <c r="K22" i="16"/>
  <c r="F406" i="7"/>
  <c r="F461" i="7"/>
  <c r="F21" i="7"/>
  <c r="B406" i="7"/>
  <c r="B461" i="7"/>
  <c r="B21" i="7"/>
  <c r="C406" i="7"/>
  <c r="C461" i="7"/>
  <c r="C21" i="7"/>
  <c r="D406" i="7"/>
  <c r="D461" i="7"/>
  <c r="D21" i="7"/>
  <c r="E406" i="7"/>
  <c r="E461" i="7"/>
  <c r="E21" i="7"/>
  <c r="F241" i="7"/>
  <c r="K23" i="16"/>
  <c r="F407" i="7"/>
  <c r="F462" i="7"/>
  <c r="F22" i="7"/>
  <c r="B407" i="7"/>
  <c r="B462" i="7"/>
  <c r="B22" i="7"/>
  <c r="C407" i="7"/>
  <c r="C462" i="7"/>
  <c r="C22" i="7"/>
  <c r="D407" i="7"/>
  <c r="D462" i="7"/>
  <c r="D22" i="7"/>
  <c r="E407" i="7"/>
  <c r="E462" i="7"/>
  <c r="E22" i="7"/>
  <c r="F242" i="7"/>
  <c r="K24" i="16"/>
  <c r="F408" i="7"/>
  <c r="F463" i="7"/>
  <c r="F23" i="7"/>
  <c r="B408" i="7"/>
  <c r="B463" i="7"/>
  <c r="B23" i="7"/>
  <c r="C408" i="7"/>
  <c r="C463" i="7"/>
  <c r="C23" i="7"/>
  <c r="D408" i="7"/>
  <c r="D463" i="7"/>
  <c r="D23" i="7"/>
  <c r="E408" i="7"/>
  <c r="E463" i="7"/>
  <c r="E23" i="7"/>
  <c r="F243" i="7"/>
  <c r="K25" i="16"/>
  <c r="F409" i="7"/>
  <c r="F464" i="7"/>
  <c r="F24" i="7"/>
  <c r="B409" i="7"/>
  <c r="B464" i="7"/>
  <c r="B24" i="7"/>
  <c r="C409" i="7"/>
  <c r="C464" i="7"/>
  <c r="C24" i="7"/>
  <c r="D409" i="7"/>
  <c r="D464" i="7"/>
  <c r="D24" i="7"/>
  <c r="E409" i="7"/>
  <c r="E464" i="7"/>
  <c r="E24" i="7"/>
  <c r="F244" i="7"/>
  <c r="K26" i="16"/>
  <c r="F410" i="7"/>
  <c r="F465" i="7"/>
  <c r="F25" i="7"/>
  <c r="B410" i="7"/>
  <c r="B465" i="7"/>
  <c r="B25" i="7"/>
  <c r="C410" i="7"/>
  <c r="C465" i="7"/>
  <c r="C25" i="7"/>
  <c r="D410" i="7"/>
  <c r="D465" i="7"/>
  <c r="D25" i="7"/>
  <c r="E410" i="7"/>
  <c r="E465" i="7"/>
  <c r="E25" i="7"/>
  <c r="F245" i="7"/>
  <c r="K27" i="16"/>
  <c r="F411" i="7"/>
  <c r="F466" i="7"/>
  <c r="F26" i="7"/>
  <c r="B411" i="7"/>
  <c r="B466" i="7"/>
  <c r="B26" i="7"/>
  <c r="C411" i="7"/>
  <c r="C466" i="7"/>
  <c r="C26" i="7"/>
  <c r="D411" i="7"/>
  <c r="D466" i="7"/>
  <c r="D26" i="7"/>
  <c r="E411" i="7"/>
  <c r="E466" i="7"/>
  <c r="E26" i="7"/>
  <c r="F246" i="7"/>
  <c r="K28" i="16"/>
  <c r="F412" i="7"/>
  <c r="F467" i="7"/>
  <c r="F27" i="7"/>
  <c r="B412" i="7"/>
  <c r="B467" i="7"/>
  <c r="B27" i="7"/>
  <c r="C412" i="7"/>
  <c r="C467" i="7"/>
  <c r="C27" i="7"/>
  <c r="D412" i="7"/>
  <c r="D467" i="7"/>
  <c r="D27" i="7"/>
  <c r="E412" i="7"/>
  <c r="E467" i="7"/>
  <c r="E27" i="7"/>
  <c r="F247" i="7"/>
  <c r="K29" i="16"/>
  <c r="F413" i="7"/>
  <c r="F468" i="7"/>
  <c r="F28" i="7"/>
  <c r="B413" i="7"/>
  <c r="B468" i="7"/>
  <c r="B28" i="7"/>
  <c r="C413" i="7"/>
  <c r="C468" i="7"/>
  <c r="C28" i="7"/>
  <c r="D413" i="7"/>
  <c r="D468" i="7"/>
  <c r="D28" i="7"/>
  <c r="E413" i="7"/>
  <c r="E468" i="7"/>
  <c r="E28" i="7"/>
  <c r="F248" i="7"/>
  <c r="K30" i="16"/>
  <c r="F414" i="7"/>
  <c r="F469" i="7"/>
  <c r="F29" i="7"/>
  <c r="B414" i="7"/>
  <c r="B469" i="7"/>
  <c r="B29" i="7"/>
  <c r="C414" i="7"/>
  <c r="C469" i="7"/>
  <c r="C29" i="7"/>
  <c r="D414" i="7"/>
  <c r="D469" i="7"/>
  <c r="D29" i="7"/>
  <c r="E414" i="7"/>
  <c r="E469" i="7"/>
  <c r="E29" i="7"/>
  <c r="F249" i="7"/>
  <c r="K31" i="16"/>
  <c r="F415" i="7"/>
  <c r="F470" i="7"/>
  <c r="F30" i="7"/>
  <c r="B415" i="7"/>
  <c r="B470" i="7"/>
  <c r="B30" i="7"/>
  <c r="C415" i="7"/>
  <c r="C470" i="7"/>
  <c r="C30" i="7"/>
  <c r="D415" i="7"/>
  <c r="D470" i="7"/>
  <c r="D30" i="7"/>
  <c r="E415" i="7"/>
  <c r="E470" i="7"/>
  <c r="E30" i="7"/>
  <c r="F250" i="7"/>
  <c r="K32" i="16"/>
  <c r="F416" i="7"/>
  <c r="F471" i="7"/>
  <c r="F31" i="7"/>
  <c r="B416" i="7"/>
  <c r="B471" i="7"/>
  <c r="B31" i="7"/>
  <c r="C416" i="7"/>
  <c r="C471" i="7"/>
  <c r="C31" i="7"/>
  <c r="D416" i="7"/>
  <c r="D471" i="7"/>
  <c r="D31" i="7"/>
  <c r="E416" i="7"/>
  <c r="E471" i="7"/>
  <c r="E31" i="7"/>
  <c r="F251" i="7"/>
  <c r="K33" i="16"/>
  <c r="F417" i="7"/>
  <c r="F472" i="7"/>
  <c r="F32" i="7"/>
  <c r="B417" i="7"/>
  <c r="B472" i="7"/>
  <c r="B32" i="7"/>
  <c r="C417" i="7"/>
  <c r="C472" i="7"/>
  <c r="C32" i="7"/>
  <c r="D417" i="7"/>
  <c r="D472" i="7"/>
  <c r="D32" i="7"/>
  <c r="E417" i="7"/>
  <c r="E472" i="7"/>
  <c r="E32" i="7"/>
  <c r="F252" i="7"/>
  <c r="K34" i="16"/>
  <c r="F418" i="7"/>
  <c r="F473" i="7"/>
  <c r="F33" i="7"/>
  <c r="B418" i="7"/>
  <c r="B473" i="7"/>
  <c r="B33" i="7"/>
  <c r="C418" i="7"/>
  <c r="C473" i="7"/>
  <c r="C33" i="7"/>
  <c r="D418" i="7"/>
  <c r="D473" i="7"/>
  <c r="D33" i="7"/>
  <c r="E418" i="7"/>
  <c r="E473" i="7"/>
  <c r="E33" i="7"/>
  <c r="F253" i="7"/>
  <c r="K35" i="16"/>
  <c r="F419" i="7"/>
  <c r="F474" i="7"/>
  <c r="F34" i="7"/>
  <c r="B419" i="7"/>
  <c r="B474" i="7"/>
  <c r="B34" i="7"/>
  <c r="C419" i="7"/>
  <c r="C474" i="7"/>
  <c r="C34" i="7"/>
  <c r="D419" i="7"/>
  <c r="D474" i="7"/>
  <c r="D34" i="7"/>
  <c r="E419" i="7"/>
  <c r="E474" i="7"/>
  <c r="E34" i="7"/>
  <c r="F254" i="7"/>
  <c r="K36" i="16"/>
  <c r="F420" i="7"/>
  <c r="F475" i="7"/>
  <c r="F35" i="7"/>
  <c r="B420" i="7"/>
  <c r="B475" i="7"/>
  <c r="B35" i="7"/>
  <c r="C420" i="7"/>
  <c r="C475" i="7"/>
  <c r="C35" i="7"/>
  <c r="D420" i="7"/>
  <c r="D475" i="7"/>
  <c r="D35" i="7"/>
  <c r="E420" i="7"/>
  <c r="E475" i="7"/>
  <c r="E35" i="7"/>
  <c r="F255" i="7"/>
  <c r="K37" i="16"/>
  <c r="F421" i="7"/>
  <c r="F476" i="7"/>
  <c r="F36" i="7"/>
  <c r="B421" i="7"/>
  <c r="B476" i="7"/>
  <c r="B36" i="7"/>
  <c r="C421" i="7"/>
  <c r="C476" i="7"/>
  <c r="C36" i="7"/>
  <c r="D421" i="7"/>
  <c r="D476" i="7"/>
  <c r="D36" i="7"/>
  <c r="E421" i="7"/>
  <c r="E476" i="7"/>
  <c r="E36" i="7"/>
  <c r="F256" i="7"/>
  <c r="K38" i="16"/>
  <c r="F422" i="7"/>
  <c r="F477" i="7"/>
  <c r="F37" i="7"/>
  <c r="B422" i="7"/>
  <c r="B477" i="7"/>
  <c r="B37" i="7"/>
  <c r="C422" i="7"/>
  <c r="C477" i="7"/>
  <c r="C37" i="7"/>
  <c r="D422" i="7"/>
  <c r="D477" i="7"/>
  <c r="D37" i="7"/>
  <c r="E422" i="7"/>
  <c r="E477" i="7"/>
  <c r="E37" i="7"/>
  <c r="F257" i="7"/>
  <c r="K39" i="16"/>
  <c r="F423" i="7"/>
  <c r="F478" i="7"/>
  <c r="F38" i="7"/>
  <c r="B423" i="7"/>
  <c r="B478" i="7"/>
  <c r="B38" i="7"/>
  <c r="C423" i="7"/>
  <c r="C478" i="7"/>
  <c r="C38" i="7"/>
  <c r="D423" i="7"/>
  <c r="D478" i="7"/>
  <c r="D38" i="7"/>
  <c r="E423" i="7"/>
  <c r="E478" i="7"/>
  <c r="E38" i="7"/>
  <c r="F258" i="7"/>
  <c r="K40" i="16"/>
  <c r="F424" i="7"/>
  <c r="F479" i="7"/>
  <c r="F39" i="7"/>
  <c r="B424" i="7"/>
  <c r="B479" i="7"/>
  <c r="B39" i="7"/>
  <c r="C424" i="7"/>
  <c r="C479" i="7"/>
  <c r="C39" i="7"/>
  <c r="D424" i="7"/>
  <c r="D479" i="7"/>
  <c r="D39" i="7"/>
  <c r="E424" i="7"/>
  <c r="E479" i="7"/>
  <c r="E39" i="7"/>
  <c r="F259" i="7"/>
  <c r="K41" i="16"/>
  <c r="F425" i="7"/>
  <c r="F480" i="7"/>
  <c r="F40" i="7"/>
  <c r="B425" i="7"/>
  <c r="B480" i="7"/>
  <c r="B40" i="7"/>
  <c r="C425" i="7"/>
  <c r="C480" i="7"/>
  <c r="C40" i="7"/>
  <c r="D425" i="7"/>
  <c r="D480" i="7"/>
  <c r="D40" i="7"/>
  <c r="E425" i="7"/>
  <c r="E480" i="7"/>
  <c r="E40" i="7"/>
  <c r="F260" i="7"/>
  <c r="K42" i="16"/>
  <c r="F426" i="7"/>
  <c r="F481" i="7"/>
  <c r="F41" i="7"/>
  <c r="B426" i="7"/>
  <c r="B481" i="7"/>
  <c r="B41" i="7"/>
  <c r="C426" i="7"/>
  <c r="C481" i="7"/>
  <c r="C41" i="7"/>
  <c r="D426" i="7"/>
  <c r="D481" i="7"/>
  <c r="D41" i="7"/>
  <c r="E426" i="7"/>
  <c r="E481" i="7"/>
  <c r="E41" i="7"/>
  <c r="F261" i="7"/>
  <c r="K43" i="16"/>
  <c r="F427" i="7"/>
  <c r="F482" i="7"/>
  <c r="F42" i="7"/>
  <c r="B427" i="7"/>
  <c r="B482" i="7"/>
  <c r="B42" i="7"/>
  <c r="C427" i="7"/>
  <c r="C482" i="7"/>
  <c r="C42" i="7"/>
  <c r="D427" i="7"/>
  <c r="D482" i="7"/>
  <c r="D42" i="7"/>
  <c r="E427" i="7"/>
  <c r="E482" i="7"/>
  <c r="E42" i="7"/>
  <c r="F262" i="7"/>
  <c r="F98" i="7"/>
  <c r="AI27" i="10"/>
  <c r="F99" i="7"/>
  <c r="AJ27" i="10"/>
  <c r="F100" i="7"/>
  <c r="AK27" i="10"/>
  <c r="F101" i="7"/>
  <c r="AL27" i="10"/>
  <c r="F102" i="7"/>
  <c r="AM27" i="10"/>
  <c r="F103" i="7"/>
  <c r="AN27" i="10"/>
  <c r="F104" i="7"/>
  <c r="AO27" i="10"/>
  <c r="F105" i="7"/>
  <c r="AP27" i="10"/>
  <c r="F106" i="7"/>
  <c r="AQ27" i="10"/>
  <c r="F107" i="7"/>
  <c r="AR27" i="10"/>
  <c r="F108" i="7"/>
  <c r="AS27" i="10"/>
  <c r="F109" i="7"/>
  <c r="AT27" i="10"/>
  <c r="F110" i="7"/>
  <c r="AU27" i="10"/>
  <c r="F111" i="7"/>
  <c r="AV27" i="10"/>
  <c r="F112" i="7"/>
  <c r="AW27" i="10"/>
  <c r="F113" i="7"/>
  <c r="AX27" i="10"/>
  <c r="F114" i="7"/>
  <c r="AY27" i="10"/>
  <c r="F115" i="7"/>
  <c r="AZ27" i="10"/>
  <c r="F116" i="7"/>
  <c r="BA27" i="10"/>
  <c r="F117" i="7"/>
  <c r="BB27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F43" i="7"/>
  <c r="AI11" i="10"/>
  <c r="F44" i="7"/>
  <c r="AJ11" i="10"/>
  <c r="F45" i="7"/>
  <c r="AK11" i="10"/>
  <c r="F46" i="7"/>
  <c r="AL11" i="10"/>
  <c r="F47" i="7"/>
  <c r="AM11" i="10"/>
  <c r="F48" i="7"/>
  <c r="AN11" i="10"/>
  <c r="F49" i="7"/>
  <c r="AO11" i="10"/>
  <c r="F50" i="7"/>
  <c r="AP11" i="10"/>
  <c r="F51" i="7"/>
  <c r="AQ11" i="10"/>
  <c r="F52" i="7"/>
  <c r="AR11" i="10"/>
  <c r="F53" i="7"/>
  <c r="AS11" i="10"/>
  <c r="F54" i="7"/>
  <c r="AT11" i="10"/>
  <c r="F55" i="7"/>
  <c r="AU11" i="10"/>
  <c r="F56" i="7"/>
  <c r="AV11" i="10"/>
  <c r="F57" i="7"/>
  <c r="AW11" i="10"/>
  <c r="F58" i="7"/>
  <c r="AX11" i="10"/>
  <c r="F59" i="7"/>
  <c r="AY11" i="10"/>
  <c r="F60" i="7"/>
  <c r="AZ11" i="10"/>
  <c r="F61" i="7"/>
  <c r="BA11" i="10"/>
  <c r="F62" i="7"/>
  <c r="BB11" i="10"/>
  <c r="L63" i="16"/>
  <c r="K63" i="16"/>
  <c r="G63" i="16"/>
  <c r="E63" i="16"/>
  <c r="L62" i="16"/>
  <c r="K62" i="16"/>
  <c r="G62" i="16"/>
  <c r="E62" i="16"/>
  <c r="L61" i="16"/>
  <c r="K61" i="16"/>
  <c r="G61" i="16"/>
  <c r="E61" i="16"/>
  <c r="L60" i="16"/>
  <c r="K60" i="16"/>
  <c r="G60" i="16"/>
  <c r="E60" i="16"/>
  <c r="L59" i="16"/>
  <c r="K59" i="16"/>
  <c r="G59" i="16"/>
  <c r="E59" i="16"/>
  <c r="L58" i="16"/>
  <c r="K58" i="16"/>
  <c r="G58" i="16"/>
  <c r="E58" i="16"/>
  <c r="L57" i="16"/>
  <c r="K57" i="16"/>
  <c r="G57" i="16"/>
  <c r="E57" i="16"/>
  <c r="L56" i="16"/>
  <c r="K56" i="16"/>
  <c r="L55" i="16"/>
  <c r="K55" i="16"/>
  <c r="L54" i="16"/>
  <c r="K54" i="16"/>
  <c r="L53" i="16"/>
  <c r="K53" i="16"/>
  <c r="L52" i="16"/>
  <c r="K52" i="16"/>
  <c r="L51" i="16"/>
  <c r="K51" i="16"/>
  <c r="L50" i="16"/>
  <c r="K50" i="16"/>
  <c r="L49" i="16"/>
  <c r="K49" i="16"/>
  <c r="L48" i="16"/>
  <c r="K48" i="16"/>
  <c r="L47" i="16"/>
  <c r="K47" i="16"/>
  <c r="L46" i="16"/>
  <c r="K46" i="16"/>
  <c r="L45" i="16"/>
  <c r="K45" i="16"/>
  <c r="L44" i="16"/>
  <c r="K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P19" i="16"/>
  <c r="L19" i="16"/>
  <c r="P18" i="16"/>
  <c r="L18" i="16"/>
  <c r="P17" i="16"/>
  <c r="L17" i="16"/>
  <c r="E49" i="2"/>
  <c r="E52" i="2"/>
  <c r="E57" i="2"/>
  <c r="E60" i="2"/>
  <c r="E61" i="2"/>
  <c r="E63" i="2"/>
  <c r="G62" i="2"/>
  <c r="G63" i="2"/>
  <c r="E50" i="2"/>
  <c r="E56" i="2"/>
  <c r="E58" i="2"/>
  <c r="G60" i="2"/>
  <c r="G61" i="2"/>
  <c r="E53" i="2"/>
  <c r="E59" i="2"/>
  <c r="E62" i="2"/>
  <c r="G49" i="2"/>
  <c r="E51" i="2"/>
  <c r="G55" i="2"/>
  <c r="G57" i="2"/>
  <c r="G59" i="2"/>
  <c r="E55" i="2"/>
  <c r="G54" i="2"/>
  <c r="G58" i="2"/>
  <c r="E54" i="2"/>
  <c r="G56" i="2"/>
  <c r="P16" i="16"/>
  <c r="L16" i="16"/>
  <c r="L15" i="16"/>
  <c r="L14" i="16"/>
  <c r="L13" i="16"/>
  <c r="K1" i="16"/>
  <c r="F2" i="7"/>
  <c r="F3" i="7"/>
  <c r="F4" i="7"/>
  <c r="F11" i="7"/>
  <c r="F66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31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6" i="7"/>
  <c r="B232" i="7"/>
  <c r="B122" i="7"/>
  <c r="B233" i="7"/>
  <c r="B123" i="7"/>
  <c r="B234" i="7"/>
  <c r="B124" i="7"/>
  <c r="B235" i="7"/>
  <c r="B125" i="7"/>
  <c r="B236" i="7"/>
  <c r="B126" i="7"/>
  <c r="B237" i="7"/>
  <c r="B127" i="7"/>
  <c r="B238" i="7"/>
  <c r="B128" i="7"/>
  <c r="B239" i="7"/>
  <c r="B129" i="7"/>
  <c r="B240" i="7"/>
  <c r="B130" i="7"/>
  <c r="B241" i="7"/>
  <c r="B131" i="7"/>
  <c r="B242" i="7"/>
  <c r="B132" i="7"/>
  <c r="B243" i="7"/>
  <c r="B133" i="7"/>
  <c r="B244" i="7"/>
  <c r="B134" i="7"/>
  <c r="B245" i="7"/>
  <c r="B135" i="7"/>
  <c r="B246" i="7"/>
  <c r="B136" i="7"/>
  <c r="B247" i="7"/>
  <c r="B137" i="7"/>
  <c r="B248" i="7"/>
  <c r="B138" i="7"/>
  <c r="B249" i="7"/>
  <c r="B139" i="7"/>
  <c r="B250" i="7"/>
  <c r="B140" i="7"/>
  <c r="B251" i="7"/>
  <c r="B141" i="7"/>
  <c r="B252" i="7"/>
  <c r="B142" i="7"/>
  <c r="B253" i="7"/>
  <c r="B143" i="7"/>
  <c r="B254" i="7"/>
  <c r="B144" i="7"/>
  <c r="B255" i="7"/>
  <c r="B145" i="7"/>
  <c r="B256" i="7"/>
  <c r="B146" i="7"/>
  <c r="B257" i="7"/>
  <c r="B147" i="7"/>
  <c r="B258" i="7"/>
  <c r="B148" i="7"/>
  <c r="B259" i="7"/>
  <c r="B149" i="7"/>
  <c r="B260" i="7"/>
  <c r="B150" i="7"/>
  <c r="B261" i="7"/>
  <c r="B151" i="7"/>
  <c r="B262" i="7"/>
  <c r="B152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41" i="7"/>
  <c r="B177" i="7"/>
  <c r="C232" i="7"/>
  <c r="C122" i="7"/>
  <c r="C177" i="7"/>
  <c r="D232" i="7"/>
  <c r="D177" i="7"/>
  <c r="E177" i="7"/>
  <c r="D122" i="7"/>
  <c r="E232" i="7"/>
  <c r="E122" i="7"/>
  <c r="F342" i="7"/>
  <c r="B178" i="7"/>
  <c r="C233" i="7"/>
  <c r="C123" i="7"/>
  <c r="C178" i="7"/>
  <c r="D233" i="7"/>
  <c r="D178" i="7"/>
  <c r="E178" i="7"/>
  <c r="D123" i="7"/>
  <c r="E233" i="7"/>
  <c r="E123" i="7"/>
  <c r="F343" i="7"/>
  <c r="B179" i="7"/>
  <c r="C234" i="7"/>
  <c r="C124" i="7"/>
  <c r="C179" i="7"/>
  <c r="D234" i="7"/>
  <c r="D179" i="7"/>
  <c r="E179" i="7"/>
  <c r="D124" i="7"/>
  <c r="E234" i="7"/>
  <c r="E124" i="7"/>
  <c r="F344" i="7"/>
  <c r="B180" i="7"/>
  <c r="C235" i="7"/>
  <c r="C125" i="7"/>
  <c r="C180" i="7"/>
  <c r="D235" i="7"/>
  <c r="D180" i="7"/>
  <c r="E180" i="7"/>
  <c r="D125" i="7"/>
  <c r="E235" i="7"/>
  <c r="E125" i="7"/>
  <c r="F345" i="7"/>
  <c r="B181" i="7"/>
  <c r="C236" i="7"/>
  <c r="C126" i="7"/>
  <c r="C181" i="7"/>
  <c r="D236" i="7"/>
  <c r="D181" i="7"/>
  <c r="E181" i="7"/>
  <c r="D126" i="7"/>
  <c r="E236" i="7"/>
  <c r="E126" i="7"/>
  <c r="F346" i="7"/>
  <c r="B182" i="7"/>
  <c r="C237" i="7"/>
  <c r="C127" i="7"/>
  <c r="C182" i="7"/>
  <c r="D237" i="7"/>
  <c r="D182" i="7"/>
  <c r="E182" i="7"/>
  <c r="D127" i="7"/>
  <c r="E237" i="7"/>
  <c r="E127" i="7"/>
  <c r="F347" i="7"/>
  <c r="B183" i="7"/>
  <c r="C238" i="7"/>
  <c r="C128" i="7"/>
  <c r="C183" i="7"/>
  <c r="D238" i="7"/>
  <c r="D183" i="7"/>
  <c r="E183" i="7"/>
  <c r="D128" i="7"/>
  <c r="E238" i="7"/>
  <c r="E128" i="7"/>
  <c r="F348" i="7"/>
  <c r="B184" i="7"/>
  <c r="C239" i="7"/>
  <c r="C129" i="7"/>
  <c r="C184" i="7"/>
  <c r="D239" i="7"/>
  <c r="D184" i="7"/>
  <c r="E184" i="7"/>
  <c r="D129" i="7"/>
  <c r="E239" i="7"/>
  <c r="E129" i="7"/>
  <c r="F349" i="7"/>
  <c r="B185" i="7"/>
  <c r="C240" i="7"/>
  <c r="C130" i="7"/>
  <c r="C185" i="7"/>
  <c r="D240" i="7"/>
  <c r="D185" i="7"/>
  <c r="E185" i="7"/>
  <c r="D130" i="7"/>
  <c r="E240" i="7"/>
  <c r="E130" i="7"/>
  <c r="F350" i="7"/>
  <c r="B186" i="7"/>
  <c r="C241" i="7"/>
  <c r="C131" i="7"/>
  <c r="C186" i="7"/>
  <c r="D241" i="7"/>
  <c r="D186" i="7"/>
  <c r="E186" i="7"/>
  <c r="D131" i="7"/>
  <c r="E241" i="7"/>
  <c r="E131" i="7"/>
  <c r="F351" i="7"/>
  <c r="B187" i="7"/>
  <c r="C242" i="7"/>
  <c r="C132" i="7"/>
  <c r="C187" i="7"/>
  <c r="D242" i="7"/>
  <c r="D187" i="7"/>
  <c r="E187" i="7"/>
  <c r="D132" i="7"/>
  <c r="E242" i="7"/>
  <c r="E132" i="7"/>
  <c r="F352" i="7"/>
  <c r="B188" i="7"/>
  <c r="C243" i="7"/>
  <c r="C133" i="7"/>
  <c r="C188" i="7"/>
  <c r="D243" i="7"/>
  <c r="D188" i="7"/>
  <c r="E188" i="7"/>
  <c r="D133" i="7"/>
  <c r="E243" i="7"/>
  <c r="E133" i="7"/>
  <c r="F353" i="7"/>
  <c r="B189" i="7"/>
  <c r="C244" i="7"/>
  <c r="C134" i="7"/>
  <c r="C189" i="7"/>
  <c r="D244" i="7"/>
  <c r="D189" i="7"/>
  <c r="E189" i="7"/>
  <c r="D134" i="7"/>
  <c r="E244" i="7"/>
  <c r="E134" i="7"/>
  <c r="F354" i="7"/>
  <c r="B190" i="7"/>
  <c r="C245" i="7"/>
  <c r="C135" i="7"/>
  <c r="C190" i="7"/>
  <c r="D245" i="7"/>
  <c r="D190" i="7"/>
  <c r="E190" i="7"/>
  <c r="D135" i="7"/>
  <c r="E245" i="7"/>
  <c r="E135" i="7"/>
  <c r="F355" i="7"/>
  <c r="B191" i="7"/>
  <c r="C246" i="7"/>
  <c r="C136" i="7"/>
  <c r="C191" i="7"/>
  <c r="D246" i="7"/>
  <c r="D191" i="7"/>
  <c r="E191" i="7"/>
  <c r="D136" i="7"/>
  <c r="E246" i="7"/>
  <c r="E136" i="7"/>
  <c r="F356" i="7"/>
  <c r="B192" i="7"/>
  <c r="C247" i="7"/>
  <c r="C137" i="7"/>
  <c r="C192" i="7"/>
  <c r="D247" i="7"/>
  <c r="D192" i="7"/>
  <c r="E192" i="7"/>
  <c r="D137" i="7"/>
  <c r="E247" i="7"/>
  <c r="E137" i="7"/>
  <c r="F357" i="7"/>
  <c r="B193" i="7"/>
  <c r="C248" i="7"/>
  <c r="C138" i="7"/>
  <c r="C193" i="7"/>
  <c r="D248" i="7"/>
  <c r="D193" i="7"/>
  <c r="E193" i="7"/>
  <c r="D138" i="7"/>
  <c r="E248" i="7"/>
  <c r="E138" i="7"/>
  <c r="F358" i="7"/>
  <c r="B194" i="7"/>
  <c r="C249" i="7"/>
  <c r="C139" i="7"/>
  <c r="C194" i="7"/>
  <c r="D249" i="7"/>
  <c r="D194" i="7"/>
  <c r="E194" i="7"/>
  <c r="D139" i="7"/>
  <c r="E249" i="7"/>
  <c r="E139" i="7"/>
  <c r="F359" i="7"/>
  <c r="B195" i="7"/>
  <c r="C250" i="7"/>
  <c r="C140" i="7"/>
  <c r="C195" i="7"/>
  <c r="D250" i="7"/>
  <c r="D195" i="7"/>
  <c r="E195" i="7"/>
  <c r="D140" i="7"/>
  <c r="E250" i="7"/>
  <c r="E140" i="7"/>
  <c r="F360" i="7"/>
  <c r="B196" i="7"/>
  <c r="C251" i="7"/>
  <c r="C141" i="7"/>
  <c r="C196" i="7"/>
  <c r="D251" i="7"/>
  <c r="D196" i="7"/>
  <c r="E196" i="7"/>
  <c r="D141" i="7"/>
  <c r="E251" i="7"/>
  <c r="E141" i="7"/>
  <c r="F361" i="7"/>
  <c r="B197" i="7"/>
  <c r="C252" i="7"/>
  <c r="C142" i="7"/>
  <c r="C197" i="7"/>
  <c r="D252" i="7"/>
  <c r="D197" i="7"/>
  <c r="E197" i="7"/>
  <c r="D142" i="7"/>
  <c r="E252" i="7"/>
  <c r="E142" i="7"/>
  <c r="F362" i="7"/>
  <c r="B198" i="7"/>
  <c r="C253" i="7"/>
  <c r="C143" i="7"/>
  <c r="C198" i="7"/>
  <c r="D253" i="7"/>
  <c r="D198" i="7"/>
  <c r="E198" i="7"/>
  <c r="D143" i="7"/>
  <c r="E253" i="7"/>
  <c r="E143" i="7"/>
  <c r="F363" i="7"/>
  <c r="B199" i="7"/>
  <c r="C254" i="7"/>
  <c r="C144" i="7"/>
  <c r="C199" i="7"/>
  <c r="D254" i="7"/>
  <c r="D199" i="7"/>
  <c r="E199" i="7"/>
  <c r="D144" i="7"/>
  <c r="E254" i="7"/>
  <c r="E144" i="7"/>
  <c r="F364" i="7"/>
  <c r="B200" i="7"/>
  <c r="C255" i="7"/>
  <c r="C145" i="7"/>
  <c r="C200" i="7"/>
  <c r="D255" i="7"/>
  <c r="D200" i="7"/>
  <c r="E200" i="7"/>
  <c r="D145" i="7"/>
  <c r="E255" i="7"/>
  <c r="E145" i="7"/>
  <c r="F365" i="7"/>
  <c r="B201" i="7"/>
  <c r="C256" i="7"/>
  <c r="C146" i="7"/>
  <c r="C201" i="7"/>
  <c r="D256" i="7"/>
  <c r="D201" i="7"/>
  <c r="E201" i="7"/>
  <c r="D146" i="7"/>
  <c r="E256" i="7"/>
  <c r="E146" i="7"/>
  <c r="F366" i="7"/>
  <c r="B202" i="7"/>
  <c r="C257" i="7"/>
  <c r="C147" i="7"/>
  <c r="C202" i="7"/>
  <c r="D257" i="7"/>
  <c r="D202" i="7"/>
  <c r="E202" i="7"/>
  <c r="D147" i="7"/>
  <c r="E257" i="7"/>
  <c r="E147" i="7"/>
  <c r="F367" i="7"/>
  <c r="B203" i="7"/>
  <c r="C258" i="7"/>
  <c r="C148" i="7"/>
  <c r="C203" i="7"/>
  <c r="D258" i="7"/>
  <c r="D203" i="7"/>
  <c r="E203" i="7"/>
  <c r="D148" i="7"/>
  <c r="E258" i="7"/>
  <c r="E148" i="7"/>
  <c r="F368" i="7"/>
  <c r="B204" i="7"/>
  <c r="C259" i="7"/>
  <c r="C149" i="7"/>
  <c r="C204" i="7"/>
  <c r="D259" i="7"/>
  <c r="D204" i="7"/>
  <c r="E204" i="7"/>
  <c r="D149" i="7"/>
  <c r="E259" i="7"/>
  <c r="E149" i="7"/>
  <c r="F369" i="7"/>
  <c r="B205" i="7"/>
  <c r="C260" i="7"/>
  <c r="C150" i="7"/>
  <c r="C205" i="7"/>
  <c r="D260" i="7"/>
  <c r="D205" i="7"/>
  <c r="E205" i="7"/>
  <c r="D150" i="7"/>
  <c r="E260" i="7"/>
  <c r="E150" i="7"/>
  <c r="F370" i="7"/>
  <c r="B206" i="7"/>
  <c r="C261" i="7"/>
  <c r="C151" i="7"/>
  <c r="C206" i="7"/>
  <c r="D261" i="7"/>
  <c r="D206" i="7"/>
  <c r="E206" i="7"/>
  <c r="D151" i="7"/>
  <c r="E261" i="7"/>
  <c r="E151" i="7"/>
  <c r="F371" i="7"/>
  <c r="B207" i="7"/>
  <c r="C262" i="7"/>
  <c r="C152" i="7"/>
  <c r="C207" i="7"/>
  <c r="D262" i="7"/>
  <c r="D207" i="7"/>
  <c r="E207" i="7"/>
  <c r="D152" i="7"/>
  <c r="E262" i="7"/>
  <c r="E152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6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51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6" i="7"/>
  <c r="K13" i="5"/>
  <c r="K13" i="6"/>
  <c r="K13" i="8"/>
  <c r="K13" i="12"/>
  <c r="K14" i="5"/>
  <c r="K14" i="6"/>
  <c r="K14" i="8"/>
  <c r="K14" i="12"/>
  <c r="K15" i="5"/>
  <c r="K15" i="6"/>
  <c r="K15" i="8"/>
  <c r="K15" i="12"/>
  <c r="K16" i="5"/>
  <c r="K16" i="6"/>
  <c r="K16" i="8"/>
  <c r="K16" i="12"/>
  <c r="K17" i="5"/>
  <c r="K17" i="6"/>
  <c r="K17" i="8"/>
  <c r="K17" i="12"/>
  <c r="K18" i="5"/>
  <c r="K18" i="6"/>
  <c r="K18" i="8"/>
  <c r="K18" i="12"/>
  <c r="K19" i="5"/>
  <c r="K19" i="6"/>
  <c r="K19" i="8"/>
  <c r="K19" i="12"/>
  <c r="K20" i="5"/>
  <c r="K20" i="6"/>
  <c r="K20" i="8"/>
  <c r="K20" i="12"/>
  <c r="K21" i="5"/>
  <c r="K21" i="6"/>
  <c r="K21" i="8"/>
  <c r="K21" i="12"/>
  <c r="K22" i="5"/>
  <c r="K22" i="6"/>
  <c r="K22" i="8"/>
  <c r="K22" i="12"/>
  <c r="K23" i="5"/>
  <c r="K23" i="6"/>
  <c r="K23" i="8"/>
  <c r="K23" i="12"/>
  <c r="K24" i="5"/>
  <c r="K24" i="6"/>
  <c r="K24" i="8"/>
  <c r="K24" i="12"/>
  <c r="K25" i="5"/>
  <c r="K25" i="6"/>
  <c r="K25" i="8"/>
  <c r="K25" i="12"/>
  <c r="K26" i="5"/>
  <c r="K26" i="6"/>
  <c r="K26" i="8"/>
  <c r="K26" i="12"/>
  <c r="K27" i="5"/>
  <c r="K27" i="6"/>
  <c r="K27" i="8"/>
  <c r="K27" i="12"/>
  <c r="K28" i="5"/>
  <c r="K28" i="6"/>
  <c r="K28" i="8"/>
  <c r="K28" i="12"/>
  <c r="K29" i="5"/>
  <c r="K29" i="6"/>
  <c r="K29" i="8"/>
  <c r="K29" i="12"/>
  <c r="K30" i="5"/>
  <c r="K30" i="6"/>
  <c r="K30" i="8"/>
  <c r="K30" i="12"/>
  <c r="K31" i="5"/>
  <c r="K31" i="6"/>
  <c r="K31" i="8"/>
  <c r="K31" i="12"/>
  <c r="K32" i="5"/>
  <c r="K32" i="6"/>
  <c r="K32" i="8"/>
  <c r="K32" i="12"/>
  <c r="K33" i="5"/>
  <c r="K33" i="6"/>
  <c r="K33" i="8"/>
  <c r="K33" i="12"/>
  <c r="K34" i="5"/>
  <c r="K34" i="6"/>
  <c r="K34" i="8"/>
  <c r="K34" i="12"/>
  <c r="K35" i="5"/>
  <c r="K35" i="6"/>
  <c r="K35" i="8"/>
  <c r="K35" i="12"/>
  <c r="K36" i="5"/>
  <c r="K36" i="6"/>
  <c r="K36" i="8"/>
  <c r="K36" i="12"/>
  <c r="K37" i="5"/>
  <c r="K37" i="6"/>
  <c r="K37" i="8"/>
  <c r="K37" i="12"/>
  <c r="K38" i="5"/>
  <c r="K38" i="6"/>
  <c r="K38" i="8"/>
  <c r="K38" i="12"/>
  <c r="K39" i="5"/>
  <c r="K39" i="6"/>
  <c r="K39" i="8"/>
  <c r="K39" i="12"/>
  <c r="K40" i="5"/>
  <c r="K40" i="6"/>
  <c r="K40" i="8"/>
  <c r="K40" i="12"/>
  <c r="K41" i="5"/>
  <c r="K41" i="6"/>
  <c r="K41" i="8"/>
  <c r="K41" i="12"/>
  <c r="K42" i="5"/>
  <c r="K42" i="6"/>
  <c r="K42" i="8"/>
  <c r="K42" i="12"/>
  <c r="L63" i="15"/>
  <c r="K63" i="15"/>
  <c r="G63" i="15"/>
  <c r="E63" i="15"/>
  <c r="L62" i="15"/>
  <c r="K62" i="15"/>
  <c r="G62" i="15"/>
  <c r="E62" i="15"/>
  <c r="L61" i="15"/>
  <c r="K61" i="15"/>
  <c r="G61" i="15"/>
  <c r="E61" i="15"/>
  <c r="L60" i="15"/>
  <c r="K60" i="15"/>
  <c r="G60" i="15"/>
  <c r="E60" i="15"/>
  <c r="L59" i="15"/>
  <c r="K59" i="15"/>
  <c r="G59" i="15"/>
  <c r="E59" i="15"/>
  <c r="L58" i="15"/>
  <c r="K58" i="15"/>
  <c r="G58" i="15"/>
  <c r="E58" i="15"/>
  <c r="L57" i="15"/>
  <c r="K57" i="15"/>
  <c r="G57" i="15"/>
  <c r="E57" i="15"/>
  <c r="L56" i="15"/>
  <c r="K56" i="15"/>
  <c r="L55" i="15"/>
  <c r="K55" i="15"/>
  <c r="L54" i="15"/>
  <c r="K54" i="15"/>
  <c r="L53" i="15"/>
  <c r="K53" i="15"/>
  <c r="L52" i="15"/>
  <c r="K52" i="15"/>
  <c r="L51" i="15"/>
  <c r="K51" i="15"/>
  <c r="L50" i="15"/>
  <c r="K50" i="15"/>
  <c r="L49" i="15"/>
  <c r="K49" i="15"/>
  <c r="L48" i="15"/>
  <c r="K48" i="15"/>
  <c r="L47" i="15"/>
  <c r="K47" i="15"/>
  <c r="L46" i="15"/>
  <c r="K46" i="15"/>
  <c r="L45" i="15"/>
  <c r="K45" i="15"/>
  <c r="L44" i="15"/>
  <c r="K44" i="15"/>
  <c r="L43" i="15"/>
  <c r="K43" i="15"/>
  <c r="L42" i="15"/>
  <c r="K42" i="15"/>
  <c r="L41" i="15"/>
  <c r="K41" i="15"/>
  <c r="L40" i="15"/>
  <c r="K40" i="15"/>
  <c r="L39" i="15"/>
  <c r="K39" i="15"/>
  <c r="L38" i="15"/>
  <c r="K38" i="15"/>
  <c r="L37" i="15"/>
  <c r="K37" i="15"/>
  <c r="L36" i="15"/>
  <c r="K36" i="15"/>
  <c r="L35" i="15"/>
  <c r="K35" i="15"/>
  <c r="L34" i="15"/>
  <c r="K34" i="15"/>
  <c r="L33" i="15"/>
  <c r="K33" i="15"/>
  <c r="L32" i="15"/>
  <c r="K32" i="15"/>
  <c r="L31" i="15"/>
  <c r="K31" i="15"/>
  <c r="L30" i="15"/>
  <c r="K30" i="15"/>
  <c r="L29" i="15"/>
  <c r="K29" i="15"/>
  <c r="L28" i="15"/>
  <c r="K28" i="15"/>
  <c r="L27" i="15"/>
  <c r="K27" i="15"/>
  <c r="L26" i="15"/>
  <c r="K26" i="15"/>
  <c r="L25" i="15"/>
  <c r="K25" i="15"/>
  <c r="L24" i="15"/>
  <c r="K24" i="15"/>
  <c r="L23" i="15"/>
  <c r="K23" i="15"/>
  <c r="L22" i="15"/>
  <c r="K22" i="15"/>
  <c r="L21" i="15"/>
  <c r="K21" i="15"/>
  <c r="L20" i="15"/>
  <c r="K20" i="15"/>
  <c r="P19" i="15"/>
  <c r="L19" i="15"/>
  <c r="K19" i="15"/>
  <c r="P18" i="15"/>
  <c r="L18" i="15"/>
  <c r="K18" i="15"/>
  <c r="P17" i="15"/>
  <c r="L17" i="15"/>
  <c r="K17" i="15"/>
  <c r="P16" i="15"/>
  <c r="L16" i="15"/>
  <c r="K16" i="15"/>
  <c r="L15" i="15"/>
  <c r="K15" i="15"/>
  <c r="L14" i="15"/>
  <c r="K14" i="15"/>
  <c r="L13" i="15"/>
  <c r="K13" i="15"/>
  <c r="K1" i="15"/>
  <c r="K43" i="6"/>
  <c r="K43" i="5"/>
  <c r="K43" i="8"/>
  <c r="K43" i="12"/>
  <c r="K44" i="6"/>
  <c r="C98" i="7"/>
  <c r="AI24" i="10"/>
  <c r="K45" i="6"/>
  <c r="C99" i="7"/>
  <c r="AJ24" i="10"/>
  <c r="K46" i="6"/>
  <c r="C100" i="7"/>
  <c r="AK24" i="10"/>
  <c r="K47" i="6"/>
  <c r="C101" i="7"/>
  <c r="AL24" i="10"/>
  <c r="K48" i="6"/>
  <c r="C102" i="7"/>
  <c r="AM24" i="10"/>
  <c r="K49" i="6"/>
  <c r="C103" i="7"/>
  <c r="AN24" i="10"/>
  <c r="K50" i="6"/>
  <c r="C104" i="7"/>
  <c r="AO24" i="10"/>
  <c r="K51" i="6"/>
  <c r="C105" i="7"/>
  <c r="AP24" i="10"/>
  <c r="K52" i="6"/>
  <c r="C106" i="7"/>
  <c r="AQ24" i="10"/>
  <c r="K53" i="6"/>
  <c r="C107" i="7"/>
  <c r="AR24" i="10"/>
  <c r="K54" i="6"/>
  <c r="C108" i="7"/>
  <c r="AS24" i="10"/>
  <c r="K55" i="6"/>
  <c r="C109" i="7"/>
  <c r="AT24" i="10"/>
  <c r="K56" i="6"/>
  <c r="C110" i="7"/>
  <c r="AU24" i="10"/>
  <c r="K57" i="6"/>
  <c r="C111" i="7"/>
  <c r="AV24" i="10"/>
  <c r="K58" i="6"/>
  <c r="C112" i="7"/>
  <c r="AW24" i="10"/>
  <c r="K59" i="6"/>
  <c r="C113" i="7"/>
  <c r="AX24" i="10"/>
  <c r="K60" i="6"/>
  <c r="C114" i="7"/>
  <c r="AY24" i="10"/>
  <c r="K61" i="6"/>
  <c r="C115" i="7"/>
  <c r="AZ24" i="10"/>
  <c r="K62" i="6"/>
  <c r="C116" i="7"/>
  <c r="BA24" i="10"/>
  <c r="K63" i="6"/>
  <c r="C117" i="7"/>
  <c r="BB24" i="10"/>
  <c r="K44" i="8"/>
  <c r="D98" i="7"/>
  <c r="AI23" i="10"/>
  <c r="K45" i="8"/>
  <c r="D99" i="7"/>
  <c r="AJ23" i="10"/>
  <c r="K46" i="8"/>
  <c r="D100" i="7"/>
  <c r="AK23" i="10"/>
  <c r="K47" i="8"/>
  <c r="D101" i="7"/>
  <c r="AL23" i="10"/>
  <c r="K48" i="8"/>
  <c r="D102" i="7"/>
  <c r="AM23" i="10"/>
  <c r="K49" i="8"/>
  <c r="D103" i="7"/>
  <c r="AN23" i="10"/>
  <c r="K50" i="8"/>
  <c r="D104" i="7"/>
  <c r="AO23" i="10"/>
  <c r="K51" i="8"/>
  <c r="D105" i="7"/>
  <c r="AP23" i="10"/>
  <c r="K52" i="8"/>
  <c r="D106" i="7"/>
  <c r="AQ23" i="10"/>
  <c r="K53" i="8"/>
  <c r="D107" i="7"/>
  <c r="AR23" i="10"/>
  <c r="K54" i="8"/>
  <c r="D108" i="7"/>
  <c r="AS23" i="10"/>
  <c r="K55" i="8"/>
  <c r="D109" i="7"/>
  <c r="AT23" i="10"/>
  <c r="K56" i="8"/>
  <c r="D110" i="7"/>
  <c r="AU23" i="10"/>
  <c r="K57" i="8"/>
  <c r="D111" i="7"/>
  <c r="AV23" i="10"/>
  <c r="K58" i="8"/>
  <c r="D112" i="7"/>
  <c r="AW23" i="10"/>
  <c r="K59" i="8"/>
  <c r="D113" i="7"/>
  <c r="AX23" i="10"/>
  <c r="K60" i="8"/>
  <c r="D114" i="7"/>
  <c r="AY23" i="10"/>
  <c r="K61" i="8"/>
  <c r="D115" i="7"/>
  <c r="AZ23" i="10"/>
  <c r="K62" i="8"/>
  <c r="D116" i="7"/>
  <c r="BA23" i="10"/>
  <c r="K63" i="8"/>
  <c r="D117" i="7"/>
  <c r="BB23" i="10"/>
  <c r="K44" i="5"/>
  <c r="B98" i="7"/>
  <c r="AI25" i="10"/>
  <c r="K45" i="5"/>
  <c r="B99" i="7"/>
  <c r="AJ25" i="10"/>
  <c r="K46" i="5"/>
  <c r="B100" i="7"/>
  <c r="AK25" i="10"/>
  <c r="K47" i="5"/>
  <c r="B101" i="7"/>
  <c r="AL25" i="10"/>
  <c r="K48" i="5"/>
  <c r="B102" i="7"/>
  <c r="AM25" i="10"/>
  <c r="K49" i="5"/>
  <c r="B103" i="7"/>
  <c r="AN25" i="10"/>
  <c r="K50" i="5"/>
  <c r="B104" i="7"/>
  <c r="AO25" i="10"/>
  <c r="K51" i="5"/>
  <c r="B105" i="7"/>
  <c r="AP25" i="10"/>
  <c r="K52" i="5"/>
  <c r="B106" i="7"/>
  <c r="AQ25" i="10"/>
  <c r="K53" i="5"/>
  <c r="B107" i="7"/>
  <c r="AR25" i="10"/>
  <c r="K54" i="5"/>
  <c r="B108" i="7"/>
  <c r="AS25" i="10"/>
  <c r="K55" i="5"/>
  <c r="B109" i="7"/>
  <c r="AT25" i="10"/>
  <c r="K56" i="5"/>
  <c r="B110" i="7"/>
  <c r="AU25" i="10"/>
  <c r="K57" i="5"/>
  <c r="B111" i="7"/>
  <c r="AV25" i="10"/>
  <c r="K58" i="5"/>
  <c r="B112" i="7"/>
  <c r="AW25" i="10"/>
  <c r="K59" i="5"/>
  <c r="B113" i="7"/>
  <c r="AX25" i="10"/>
  <c r="K60" i="5"/>
  <c r="B114" i="7"/>
  <c r="AY25" i="10"/>
  <c r="K61" i="5"/>
  <c r="B115" i="7"/>
  <c r="AZ25" i="10"/>
  <c r="K62" i="5"/>
  <c r="B116" i="7"/>
  <c r="BA25" i="10"/>
  <c r="K63" i="5"/>
  <c r="B117" i="7"/>
  <c r="BB25" i="10"/>
  <c r="K44" i="12"/>
  <c r="E98" i="7"/>
  <c r="AI26" i="10"/>
  <c r="K45" i="12"/>
  <c r="E99" i="7"/>
  <c r="AJ26" i="10"/>
  <c r="K46" i="12"/>
  <c r="E100" i="7"/>
  <c r="AK26" i="10"/>
  <c r="K47" i="12"/>
  <c r="E101" i="7"/>
  <c r="AL26" i="10"/>
  <c r="K48" i="12"/>
  <c r="E102" i="7"/>
  <c r="AM26" i="10"/>
  <c r="K49" i="12"/>
  <c r="E103" i="7"/>
  <c r="AN26" i="10"/>
  <c r="K50" i="12"/>
  <c r="E104" i="7"/>
  <c r="AO26" i="10"/>
  <c r="K51" i="12"/>
  <c r="E105" i="7"/>
  <c r="AP26" i="10"/>
  <c r="K52" i="12"/>
  <c r="E106" i="7"/>
  <c r="AQ26" i="10"/>
  <c r="K53" i="12"/>
  <c r="E107" i="7"/>
  <c r="AR26" i="10"/>
  <c r="K54" i="12"/>
  <c r="E108" i="7"/>
  <c r="AS26" i="10"/>
  <c r="K55" i="12"/>
  <c r="E109" i="7"/>
  <c r="AT26" i="10"/>
  <c r="K56" i="12"/>
  <c r="E110" i="7"/>
  <c r="AU26" i="10"/>
  <c r="K57" i="12"/>
  <c r="E111" i="7"/>
  <c r="AV26" i="10"/>
  <c r="K58" i="12"/>
  <c r="E112" i="7"/>
  <c r="AW26" i="10"/>
  <c r="K59" i="12"/>
  <c r="E113" i="7"/>
  <c r="AX26" i="10"/>
  <c r="K60" i="12"/>
  <c r="E114" i="7"/>
  <c r="AY26" i="10"/>
  <c r="K61" i="12"/>
  <c r="E115" i="7"/>
  <c r="AZ26" i="10"/>
  <c r="K62" i="12"/>
  <c r="E116" i="7"/>
  <c r="BA26" i="10"/>
  <c r="K63" i="12"/>
  <c r="E117" i="7"/>
  <c r="BB26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C43" i="7"/>
  <c r="AI8" i="10"/>
  <c r="C44" i="7"/>
  <c r="AJ8" i="10"/>
  <c r="C45" i="7"/>
  <c r="AK8" i="10"/>
  <c r="C46" i="7"/>
  <c r="AL8" i="10"/>
  <c r="C47" i="7"/>
  <c r="AM8" i="10"/>
  <c r="C48" i="7"/>
  <c r="AN8" i="10"/>
  <c r="C49" i="7"/>
  <c r="AO8" i="10"/>
  <c r="C50" i="7"/>
  <c r="AP8" i="10"/>
  <c r="C51" i="7"/>
  <c r="AQ8" i="10"/>
  <c r="C52" i="7"/>
  <c r="AR8" i="10"/>
  <c r="C53" i="7"/>
  <c r="AS8" i="10"/>
  <c r="C54" i="7"/>
  <c r="AT8" i="10"/>
  <c r="C55" i="7"/>
  <c r="AU8" i="10"/>
  <c r="C56" i="7"/>
  <c r="AV8" i="10"/>
  <c r="C57" i="7"/>
  <c r="AW8" i="10"/>
  <c r="C58" i="7"/>
  <c r="AX8" i="10"/>
  <c r="C59" i="7"/>
  <c r="AY8" i="10"/>
  <c r="C60" i="7"/>
  <c r="AZ8" i="10"/>
  <c r="C61" i="7"/>
  <c r="BA8" i="10"/>
  <c r="C62" i="7"/>
  <c r="BB8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D43" i="7"/>
  <c r="AI7" i="10"/>
  <c r="D44" i="7"/>
  <c r="AJ7" i="10"/>
  <c r="D45" i="7"/>
  <c r="AK7" i="10"/>
  <c r="D46" i="7"/>
  <c r="AL7" i="10"/>
  <c r="D47" i="7"/>
  <c r="AM7" i="10"/>
  <c r="D48" i="7"/>
  <c r="AN7" i="10"/>
  <c r="D49" i="7"/>
  <c r="AO7" i="10"/>
  <c r="D50" i="7"/>
  <c r="AP7" i="10"/>
  <c r="D51" i="7"/>
  <c r="AQ7" i="10"/>
  <c r="D52" i="7"/>
  <c r="AR7" i="10"/>
  <c r="D53" i="7"/>
  <c r="AS7" i="10"/>
  <c r="D54" i="7"/>
  <c r="AT7" i="10"/>
  <c r="D55" i="7"/>
  <c r="AU7" i="10"/>
  <c r="D56" i="7"/>
  <c r="AV7" i="10"/>
  <c r="D57" i="7"/>
  <c r="AW7" i="10"/>
  <c r="D58" i="7"/>
  <c r="AX7" i="10"/>
  <c r="D59" i="7"/>
  <c r="AY7" i="10"/>
  <c r="D60" i="7"/>
  <c r="AZ7" i="10"/>
  <c r="D61" i="7"/>
  <c r="BA7" i="10"/>
  <c r="D62" i="7"/>
  <c r="BB7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B43" i="7"/>
  <c r="AI9" i="10"/>
  <c r="B44" i="7"/>
  <c r="AJ9" i="10"/>
  <c r="B45" i="7"/>
  <c r="AK9" i="10"/>
  <c r="B46" i="7"/>
  <c r="AL9" i="10"/>
  <c r="B47" i="7"/>
  <c r="AM9" i="10"/>
  <c r="B48" i="7"/>
  <c r="AN9" i="10"/>
  <c r="B49" i="7"/>
  <c r="AO9" i="10"/>
  <c r="B50" i="7"/>
  <c r="AP9" i="10"/>
  <c r="B51" i="7"/>
  <c r="AQ9" i="10"/>
  <c r="B52" i="7"/>
  <c r="AR9" i="10"/>
  <c r="B53" i="7"/>
  <c r="AS9" i="10"/>
  <c r="B54" i="7"/>
  <c r="AT9" i="10"/>
  <c r="B55" i="7"/>
  <c r="AU9" i="10"/>
  <c r="B56" i="7"/>
  <c r="AV9" i="10"/>
  <c r="B57" i="7"/>
  <c r="AW9" i="10"/>
  <c r="B58" i="7"/>
  <c r="AX9" i="10"/>
  <c r="B59" i="7"/>
  <c r="AY9" i="10"/>
  <c r="B60" i="7"/>
  <c r="AZ9" i="10"/>
  <c r="B61" i="7"/>
  <c r="BA9" i="10"/>
  <c r="B62" i="7"/>
  <c r="BB9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E43" i="7"/>
  <c r="AI10" i="10"/>
  <c r="E44" i="7"/>
  <c r="AJ10" i="10"/>
  <c r="E45" i="7"/>
  <c r="AK10" i="10"/>
  <c r="E46" i="7"/>
  <c r="AL10" i="10"/>
  <c r="E47" i="7"/>
  <c r="AM10" i="10"/>
  <c r="E48" i="7"/>
  <c r="AN10" i="10"/>
  <c r="E49" i="7"/>
  <c r="AO10" i="10"/>
  <c r="E50" i="7"/>
  <c r="AP10" i="10"/>
  <c r="E51" i="7"/>
  <c r="AQ10" i="10"/>
  <c r="E52" i="7"/>
  <c r="AR10" i="10"/>
  <c r="E53" i="7"/>
  <c r="AS10" i="10"/>
  <c r="E54" i="7"/>
  <c r="AT10" i="10"/>
  <c r="E55" i="7"/>
  <c r="AU10" i="10"/>
  <c r="E56" i="7"/>
  <c r="AV10" i="10"/>
  <c r="E57" i="7"/>
  <c r="AW10" i="10"/>
  <c r="E58" i="7"/>
  <c r="AX10" i="10"/>
  <c r="E59" i="7"/>
  <c r="AY10" i="10"/>
  <c r="E60" i="7"/>
  <c r="AZ10" i="10"/>
  <c r="E61" i="7"/>
  <c r="BA10" i="10"/>
  <c r="E62" i="7"/>
  <c r="BB10" i="10"/>
  <c r="D8" i="10"/>
  <c r="D7" i="10"/>
  <c r="D9" i="10"/>
  <c r="D10" i="10"/>
  <c r="E506" i="7"/>
  <c r="D506" i="7"/>
  <c r="C506" i="7"/>
  <c r="B506" i="7"/>
  <c r="E451" i="7"/>
  <c r="D451" i="7"/>
  <c r="C451" i="7"/>
  <c r="B451" i="7"/>
  <c r="E396" i="7"/>
  <c r="D396" i="7"/>
  <c r="C396" i="7"/>
  <c r="B396" i="7"/>
  <c r="E341" i="7"/>
  <c r="D341" i="7"/>
  <c r="C341" i="7"/>
  <c r="B341" i="7"/>
  <c r="E286" i="7"/>
  <c r="D286" i="7"/>
  <c r="C286" i="7"/>
  <c r="B286" i="7"/>
  <c r="E231" i="7"/>
  <c r="D231" i="7"/>
  <c r="C231" i="7"/>
  <c r="B231" i="7"/>
  <c r="E176" i="7"/>
  <c r="D176" i="7"/>
  <c r="C176" i="7"/>
  <c r="B176" i="7"/>
  <c r="E121" i="7"/>
  <c r="D121" i="7"/>
  <c r="C121" i="7"/>
  <c r="B121" i="7"/>
  <c r="E66" i="7"/>
  <c r="D66" i="7"/>
  <c r="C66" i="7"/>
  <c r="B66" i="7"/>
  <c r="C11" i="7"/>
  <c r="D11" i="7"/>
  <c r="E11" i="7"/>
  <c r="B11" i="7"/>
  <c r="P16" i="12"/>
  <c r="P17" i="12"/>
  <c r="P18" i="12"/>
  <c r="P19" i="12"/>
  <c r="K1" i="12"/>
  <c r="E2" i="7"/>
  <c r="E3" i="7"/>
  <c r="E4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L63" i="12"/>
  <c r="G63" i="12"/>
  <c r="E63" i="12"/>
  <c r="L62" i="12"/>
  <c r="G62" i="12"/>
  <c r="E62" i="12"/>
  <c r="L61" i="12"/>
  <c r="G61" i="12"/>
  <c r="E61" i="12"/>
  <c r="L60" i="12"/>
  <c r="G60" i="12"/>
  <c r="E60" i="12"/>
  <c r="L59" i="12"/>
  <c r="G59" i="12"/>
  <c r="E59" i="12"/>
  <c r="L58" i="12"/>
  <c r="G58" i="12"/>
  <c r="E58" i="12"/>
  <c r="L57" i="12"/>
  <c r="G57" i="12"/>
  <c r="E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G63" i="8"/>
  <c r="E63" i="8"/>
  <c r="G62" i="8"/>
  <c r="E62" i="8"/>
  <c r="G61" i="8"/>
  <c r="E61" i="8"/>
  <c r="G60" i="8"/>
  <c r="E60" i="8"/>
  <c r="G59" i="8"/>
  <c r="E59" i="8"/>
  <c r="G58" i="8"/>
  <c r="E58" i="8"/>
  <c r="G57" i="8"/>
  <c r="E57" i="8"/>
  <c r="G63" i="6"/>
  <c r="E63" i="6"/>
  <c r="G62" i="6"/>
  <c r="E62" i="6"/>
  <c r="G61" i="6"/>
  <c r="E61" i="6"/>
  <c r="G60" i="6"/>
  <c r="E60" i="6"/>
  <c r="G59" i="6"/>
  <c r="E59" i="6"/>
  <c r="G58" i="6"/>
  <c r="E58" i="6"/>
  <c r="G57" i="6"/>
  <c r="E57" i="6"/>
  <c r="G63" i="5"/>
  <c r="E63" i="5"/>
  <c r="G62" i="5"/>
  <c r="E62" i="5"/>
  <c r="G61" i="5"/>
  <c r="E61" i="5"/>
  <c r="G60" i="5"/>
  <c r="E60" i="5"/>
  <c r="G59" i="5"/>
  <c r="E59" i="5"/>
  <c r="G58" i="5"/>
  <c r="E58" i="5"/>
  <c r="G57" i="5"/>
  <c r="E57" i="5"/>
  <c r="B428" i="7"/>
  <c r="B483" i="7"/>
  <c r="C428" i="7"/>
  <c r="C483" i="7"/>
  <c r="D428" i="7"/>
  <c r="D483" i="7"/>
  <c r="B263" i="7"/>
  <c r="B429" i="7"/>
  <c r="B484" i="7"/>
  <c r="C429" i="7"/>
  <c r="C484" i="7"/>
  <c r="D429" i="7"/>
  <c r="D484" i="7"/>
  <c r="B264" i="7"/>
  <c r="B430" i="7"/>
  <c r="B485" i="7"/>
  <c r="C430" i="7"/>
  <c r="C485" i="7"/>
  <c r="D430" i="7"/>
  <c r="D485" i="7"/>
  <c r="B265" i="7"/>
  <c r="B431" i="7"/>
  <c r="B486" i="7"/>
  <c r="C431" i="7"/>
  <c r="C486" i="7"/>
  <c r="D431" i="7"/>
  <c r="D486" i="7"/>
  <c r="B266" i="7"/>
  <c r="B432" i="7"/>
  <c r="B487" i="7"/>
  <c r="C432" i="7"/>
  <c r="C487" i="7"/>
  <c r="D432" i="7"/>
  <c r="D487" i="7"/>
  <c r="B267" i="7"/>
  <c r="C263" i="7"/>
  <c r="C264" i="7"/>
  <c r="C265" i="7"/>
  <c r="C266" i="7"/>
  <c r="C267" i="7"/>
  <c r="D263" i="7"/>
  <c r="D264" i="7"/>
  <c r="D265" i="7"/>
  <c r="D266" i="7"/>
  <c r="D267" i="7"/>
  <c r="D3" i="7"/>
  <c r="P16" i="5"/>
  <c r="P19" i="8"/>
  <c r="P18" i="8"/>
  <c r="P17" i="8"/>
  <c r="P16" i="8"/>
  <c r="P19" i="6"/>
  <c r="P18" i="6"/>
  <c r="P17" i="6"/>
  <c r="P16" i="6"/>
  <c r="P19" i="5"/>
  <c r="P18" i="5"/>
  <c r="P17" i="5"/>
  <c r="B433" i="7"/>
  <c r="C433" i="7"/>
  <c r="D433" i="7"/>
  <c r="B434" i="7"/>
  <c r="C434" i="7"/>
  <c r="D434" i="7"/>
  <c r="B435" i="7"/>
  <c r="C435" i="7"/>
  <c r="D435" i="7"/>
  <c r="B436" i="7"/>
  <c r="C436" i="7"/>
  <c r="D436" i="7"/>
  <c r="B437" i="7"/>
  <c r="C437" i="7"/>
  <c r="D437" i="7"/>
  <c r="B438" i="7"/>
  <c r="C438" i="7"/>
  <c r="D438" i="7"/>
  <c r="B439" i="7"/>
  <c r="C439" i="7"/>
  <c r="D439" i="7"/>
  <c r="B440" i="7"/>
  <c r="C440" i="7"/>
  <c r="D440" i="7"/>
  <c r="B441" i="7"/>
  <c r="C441" i="7"/>
  <c r="D441" i="7"/>
  <c r="B442" i="7"/>
  <c r="C442" i="7"/>
  <c r="D442" i="7"/>
  <c r="B443" i="7"/>
  <c r="C443" i="7"/>
  <c r="D443" i="7"/>
  <c r="B444" i="7"/>
  <c r="C444" i="7"/>
  <c r="D444" i="7"/>
  <c r="B445" i="7"/>
  <c r="C445" i="7"/>
  <c r="D445" i="7"/>
  <c r="B446" i="7"/>
  <c r="C446" i="7"/>
  <c r="D446" i="7"/>
  <c r="B447" i="7"/>
  <c r="C447" i="7"/>
  <c r="D447" i="7"/>
  <c r="C208" i="7"/>
  <c r="D208" i="7"/>
  <c r="C209" i="7"/>
  <c r="D209" i="7"/>
  <c r="C210" i="7"/>
  <c r="D210" i="7"/>
  <c r="C211" i="7"/>
  <c r="D211" i="7"/>
  <c r="C212" i="7"/>
  <c r="D212" i="7"/>
  <c r="C213" i="7"/>
  <c r="D213" i="7"/>
  <c r="C214" i="7"/>
  <c r="D214" i="7"/>
  <c r="C215" i="7"/>
  <c r="D215" i="7"/>
  <c r="C216" i="7"/>
  <c r="D216" i="7"/>
  <c r="C217" i="7"/>
  <c r="D217" i="7"/>
  <c r="C218" i="7"/>
  <c r="D218" i="7"/>
  <c r="C219" i="7"/>
  <c r="D219" i="7"/>
  <c r="C220" i="7"/>
  <c r="D220" i="7"/>
  <c r="C221" i="7"/>
  <c r="D221" i="7"/>
  <c r="C222" i="7"/>
  <c r="D222" i="7"/>
  <c r="C223" i="7"/>
  <c r="D223" i="7"/>
  <c r="C224" i="7"/>
  <c r="D224" i="7"/>
  <c r="C225" i="7"/>
  <c r="D225" i="7"/>
  <c r="C226" i="7"/>
  <c r="D226" i="7"/>
  <c r="C227" i="7"/>
  <c r="D22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C153" i="7"/>
  <c r="D153" i="7"/>
  <c r="C154" i="7"/>
  <c r="D154" i="7"/>
  <c r="C155" i="7"/>
  <c r="D155" i="7"/>
  <c r="C156" i="7"/>
  <c r="D156" i="7"/>
  <c r="C157" i="7"/>
  <c r="D157" i="7"/>
  <c r="C158" i="7"/>
  <c r="D158" i="7"/>
  <c r="C159" i="7"/>
  <c r="D159" i="7"/>
  <c r="C160" i="7"/>
  <c r="D160" i="7"/>
  <c r="C161" i="7"/>
  <c r="D161" i="7"/>
  <c r="C162" i="7"/>
  <c r="D162" i="7"/>
  <c r="C163" i="7"/>
  <c r="D163" i="7"/>
  <c r="C164" i="7"/>
  <c r="D164" i="7"/>
  <c r="C165" i="7"/>
  <c r="D165" i="7"/>
  <c r="C166" i="7"/>
  <c r="D166" i="7"/>
  <c r="C167" i="7"/>
  <c r="D167" i="7"/>
  <c r="C168" i="7"/>
  <c r="D168" i="7"/>
  <c r="C169" i="7"/>
  <c r="D169" i="7"/>
  <c r="C170" i="7"/>
  <c r="D170" i="7"/>
  <c r="C171" i="7"/>
  <c r="D171" i="7"/>
  <c r="C172" i="7"/>
  <c r="D17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C4" i="7"/>
  <c r="D4" i="7"/>
  <c r="B4" i="7"/>
  <c r="C3" i="7"/>
  <c r="B3" i="7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D5" i="10"/>
  <c r="C268" i="7"/>
  <c r="D268" i="7"/>
  <c r="C269" i="7"/>
  <c r="D269" i="7"/>
  <c r="C270" i="7"/>
  <c r="D270" i="7"/>
  <c r="C271" i="7"/>
  <c r="D271" i="7"/>
  <c r="C272" i="7"/>
  <c r="D272" i="7"/>
  <c r="C273" i="7"/>
  <c r="D273" i="7"/>
  <c r="C274" i="7"/>
  <c r="D274" i="7"/>
  <c r="C275" i="7"/>
  <c r="D275" i="7"/>
  <c r="C276" i="7"/>
  <c r="D276" i="7"/>
  <c r="C277" i="7"/>
  <c r="D277" i="7"/>
  <c r="C278" i="7"/>
  <c r="D278" i="7"/>
  <c r="C279" i="7"/>
  <c r="D279" i="7"/>
  <c r="C280" i="7"/>
  <c r="D280" i="7"/>
  <c r="C281" i="7"/>
  <c r="D281" i="7"/>
  <c r="C282" i="7"/>
  <c r="D282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C323" i="7"/>
  <c r="D323" i="7"/>
  <c r="C324" i="7"/>
  <c r="D324" i="7"/>
  <c r="C325" i="7"/>
  <c r="D325" i="7"/>
  <c r="C326" i="7"/>
  <c r="D326" i="7"/>
  <c r="C327" i="7"/>
  <c r="D327" i="7"/>
  <c r="C328" i="7"/>
  <c r="D328" i="7"/>
  <c r="C329" i="7"/>
  <c r="D329" i="7"/>
  <c r="C330" i="7"/>
  <c r="D330" i="7"/>
  <c r="C331" i="7"/>
  <c r="D331" i="7"/>
  <c r="C332" i="7"/>
  <c r="D332" i="7"/>
  <c r="C333" i="7"/>
  <c r="D333" i="7"/>
  <c r="C334" i="7"/>
  <c r="D334" i="7"/>
  <c r="C335" i="7"/>
  <c r="D335" i="7"/>
  <c r="C336" i="7"/>
  <c r="D336" i="7"/>
  <c r="C337" i="7"/>
  <c r="D337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C378" i="7"/>
  <c r="D378" i="7"/>
  <c r="C379" i="7"/>
  <c r="D379" i="7"/>
  <c r="C380" i="7"/>
  <c r="D380" i="7"/>
  <c r="C381" i="7"/>
  <c r="D381" i="7"/>
  <c r="C382" i="7"/>
  <c r="D382" i="7"/>
  <c r="C383" i="7"/>
  <c r="D383" i="7"/>
  <c r="C384" i="7"/>
  <c r="D384" i="7"/>
  <c r="C385" i="7"/>
  <c r="D385" i="7"/>
  <c r="C386" i="7"/>
  <c r="D386" i="7"/>
  <c r="C387" i="7"/>
  <c r="D387" i="7"/>
  <c r="C388" i="7"/>
  <c r="D388" i="7"/>
  <c r="C389" i="7"/>
  <c r="D389" i="7"/>
  <c r="C390" i="7"/>
  <c r="D390" i="7"/>
  <c r="C391" i="7"/>
  <c r="D391" i="7"/>
  <c r="C392" i="7"/>
  <c r="D392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C488" i="7"/>
  <c r="D488" i="7"/>
  <c r="C489" i="7"/>
  <c r="D489" i="7"/>
  <c r="C490" i="7"/>
  <c r="D490" i="7"/>
  <c r="C491" i="7"/>
  <c r="D491" i="7"/>
  <c r="C492" i="7"/>
  <c r="D492" i="7"/>
  <c r="C493" i="7"/>
  <c r="D493" i="7"/>
  <c r="C494" i="7"/>
  <c r="D494" i="7"/>
  <c r="C495" i="7"/>
  <c r="D495" i="7"/>
  <c r="C496" i="7"/>
  <c r="D496" i="7"/>
  <c r="C497" i="7"/>
  <c r="D497" i="7"/>
  <c r="C498" i="7"/>
  <c r="D498" i="7"/>
  <c r="C499" i="7"/>
  <c r="D499" i="7"/>
  <c r="C500" i="7"/>
  <c r="D500" i="7"/>
  <c r="C501" i="7"/>
  <c r="D501" i="7"/>
  <c r="C502" i="7"/>
  <c r="D502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K1" i="6"/>
  <c r="C2" i="7"/>
  <c r="K1" i="8"/>
  <c r="D2" i="7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L26" i="4"/>
  <c r="O26" i="4"/>
  <c r="I26" i="4"/>
  <c r="N26" i="4"/>
  <c r="Q26" i="4"/>
  <c r="K26" i="4"/>
  <c r="H26" i="4"/>
  <c r="L25" i="4"/>
  <c r="O25" i="4"/>
  <c r="I25" i="4"/>
  <c r="N25" i="4"/>
  <c r="Q25" i="4"/>
  <c r="K25" i="4"/>
  <c r="H25" i="4"/>
  <c r="L28" i="4"/>
  <c r="O28" i="4"/>
  <c r="I28" i="4"/>
  <c r="N28" i="4"/>
  <c r="Q28" i="4"/>
  <c r="K28" i="4"/>
  <c r="H28" i="4"/>
  <c r="L27" i="4"/>
  <c r="O27" i="4"/>
  <c r="I27" i="4"/>
  <c r="N27" i="4"/>
  <c r="Q27" i="4"/>
  <c r="K27" i="4"/>
  <c r="H27" i="4"/>
  <c r="D26" i="4"/>
  <c r="D27" i="4"/>
  <c r="D28" i="4"/>
  <c r="L53" i="4"/>
  <c r="O53" i="4"/>
  <c r="I53" i="4"/>
  <c r="N53" i="4"/>
  <c r="Q53" i="4"/>
  <c r="K53" i="4"/>
  <c r="H53" i="4"/>
  <c r="L52" i="4"/>
  <c r="O52" i="4"/>
  <c r="I52" i="4"/>
  <c r="N52" i="4"/>
  <c r="Q52" i="4"/>
  <c r="K52" i="4"/>
  <c r="H52" i="4"/>
  <c r="L55" i="4"/>
  <c r="O55" i="4"/>
  <c r="I55" i="4"/>
  <c r="N55" i="4"/>
  <c r="Q55" i="4"/>
  <c r="K55" i="4"/>
  <c r="H55" i="4"/>
  <c r="L54" i="4"/>
  <c r="O54" i="4"/>
  <c r="I54" i="4"/>
  <c r="N54" i="4"/>
  <c r="Q54" i="4"/>
  <c r="K54" i="4"/>
  <c r="H54" i="4"/>
  <c r="D53" i="4"/>
  <c r="D52" i="4"/>
  <c r="D54" i="4"/>
  <c r="L44" i="4"/>
  <c r="O44" i="4"/>
  <c r="I44" i="4"/>
  <c r="N44" i="4"/>
  <c r="Q44" i="4"/>
  <c r="K44" i="4"/>
  <c r="H44" i="4"/>
  <c r="L43" i="4"/>
  <c r="O43" i="4"/>
  <c r="I43" i="4"/>
  <c r="N43" i="4"/>
  <c r="Q43" i="4"/>
  <c r="K43" i="4"/>
  <c r="H43" i="4"/>
  <c r="L46" i="4"/>
  <c r="O46" i="4"/>
  <c r="I46" i="4"/>
  <c r="N46" i="4"/>
  <c r="Q46" i="4"/>
  <c r="K46" i="4"/>
  <c r="H46" i="4"/>
  <c r="L45" i="4"/>
  <c r="O45" i="4"/>
  <c r="I45" i="4"/>
  <c r="N45" i="4"/>
  <c r="Q45" i="4"/>
  <c r="K45" i="4"/>
  <c r="H45" i="4"/>
  <c r="D44" i="4"/>
  <c r="D43" i="4"/>
  <c r="D46" i="4"/>
  <c r="L36" i="4"/>
  <c r="O36" i="4"/>
  <c r="I36" i="4"/>
  <c r="N36" i="4"/>
  <c r="Q36" i="4"/>
  <c r="K36" i="4"/>
  <c r="H36" i="4"/>
  <c r="L35" i="4"/>
  <c r="O35" i="4"/>
  <c r="I35" i="4"/>
  <c r="N35" i="4"/>
  <c r="Q35" i="4"/>
  <c r="K35" i="4"/>
  <c r="H35" i="4"/>
  <c r="L37" i="4"/>
  <c r="O37" i="4"/>
  <c r="I37" i="4"/>
  <c r="N37" i="4"/>
  <c r="Q37" i="4"/>
  <c r="K37" i="4"/>
  <c r="H37" i="4"/>
  <c r="L34" i="4"/>
  <c r="O34" i="4"/>
  <c r="I34" i="4"/>
  <c r="N34" i="4"/>
  <c r="Q34" i="4"/>
  <c r="K34" i="4"/>
  <c r="H34" i="4"/>
  <c r="D36" i="4"/>
  <c r="D34" i="4"/>
  <c r="D35" i="4"/>
  <c r="D55" i="4"/>
  <c r="D45" i="4"/>
  <c r="D37" i="4"/>
  <c r="D25" i="4"/>
  <c r="R54" i="4"/>
  <c r="S54" i="4"/>
  <c r="T54" i="4"/>
  <c r="P54" i="4"/>
  <c r="M54" i="4"/>
  <c r="J54" i="4"/>
  <c r="R52" i="4"/>
  <c r="S52" i="4"/>
  <c r="T52" i="4"/>
  <c r="P52" i="4"/>
  <c r="M52" i="4"/>
  <c r="J52" i="4"/>
  <c r="R53" i="4"/>
  <c r="S53" i="4"/>
  <c r="T53" i="4"/>
  <c r="P53" i="4"/>
  <c r="M53" i="4"/>
  <c r="J53" i="4"/>
  <c r="R55" i="4"/>
  <c r="S55" i="4"/>
  <c r="T55" i="4"/>
  <c r="P55" i="4"/>
  <c r="M55" i="4"/>
  <c r="J55" i="4"/>
  <c r="R46" i="4"/>
  <c r="S46" i="4"/>
  <c r="T46" i="4"/>
  <c r="P46" i="4"/>
  <c r="M46" i="4"/>
  <c r="J46" i="4"/>
  <c r="R43" i="4"/>
  <c r="S43" i="4"/>
  <c r="T43" i="4"/>
  <c r="P43" i="4"/>
  <c r="M43" i="4"/>
  <c r="J43" i="4"/>
  <c r="R44" i="4"/>
  <c r="S44" i="4"/>
  <c r="T44" i="4"/>
  <c r="P44" i="4"/>
  <c r="M44" i="4"/>
  <c r="J44" i="4"/>
  <c r="R45" i="4"/>
  <c r="S45" i="4"/>
  <c r="T45" i="4"/>
  <c r="P45" i="4"/>
  <c r="M45" i="4"/>
  <c r="J45" i="4"/>
  <c r="R35" i="4"/>
  <c r="S35" i="4"/>
  <c r="T35" i="4"/>
  <c r="P35" i="4"/>
  <c r="M35" i="4"/>
  <c r="J35" i="4"/>
  <c r="R34" i="4"/>
  <c r="S34" i="4"/>
  <c r="T34" i="4"/>
  <c r="P34" i="4"/>
  <c r="M34" i="4"/>
  <c r="J34" i="4"/>
  <c r="R36" i="4"/>
  <c r="S36" i="4"/>
  <c r="T36" i="4"/>
  <c r="P36" i="4"/>
  <c r="M36" i="4"/>
  <c r="J36" i="4"/>
  <c r="R37" i="4"/>
  <c r="S37" i="4"/>
  <c r="T37" i="4"/>
  <c r="P37" i="4"/>
  <c r="M37" i="4"/>
  <c r="J37" i="4"/>
  <c r="R28" i="4"/>
  <c r="S28" i="4"/>
  <c r="T28" i="4"/>
  <c r="P28" i="4"/>
  <c r="M28" i="4"/>
  <c r="J28" i="4"/>
  <c r="R25" i="4"/>
  <c r="S25" i="4"/>
  <c r="T25" i="4"/>
  <c r="P25" i="4"/>
  <c r="M25" i="4"/>
  <c r="J25" i="4"/>
  <c r="R27" i="4"/>
  <c r="S27" i="4"/>
  <c r="T27" i="4"/>
  <c r="P27" i="4"/>
  <c r="M27" i="4"/>
  <c r="J27" i="4"/>
  <c r="R26" i="4"/>
  <c r="S26" i="4"/>
  <c r="T26" i="4"/>
  <c r="P26" i="4"/>
  <c r="M26" i="4"/>
  <c r="J26" i="4"/>
  <c r="L19" i="4"/>
  <c r="O19" i="4"/>
  <c r="I19" i="4"/>
  <c r="N19" i="4"/>
  <c r="Q19" i="4"/>
  <c r="K19" i="4"/>
  <c r="H19" i="4"/>
  <c r="L17" i="4"/>
  <c r="O17" i="4"/>
  <c r="I17" i="4"/>
  <c r="N17" i="4"/>
  <c r="Q17" i="4"/>
  <c r="K17" i="4"/>
  <c r="H17" i="4"/>
  <c r="L16" i="4"/>
  <c r="O16" i="4"/>
  <c r="I16" i="4"/>
  <c r="N16" i="4"/>
  <c r="Q16" i="4"/>
  <c r="K16" i="4"/>
  <c r="H16" i="4"/>
  <c r="L18" i="4"/>
  <c r="O18" i="4"/>
  <c r="I18" i="4"/>
  <c r="N18" i="4"/>
  <c r="Q18" i="4"/>
  <c r="K18" i="4"/>
  <c r="H18" i="4"/>
  <c r="D19" i="4"/>
  <c r="D18" i="4"/>
  <c r="D17" i="4"/>
  <c r="R16" i="4"/>
  <c r="S16" i="4"/>
  <c r="T16" i="4"/>
  <c r="D16" i="4"/>
  <c r="R17" i="4"/>
  <c r="S17" i="4"/>
  <c r="T17" i="4"/>
  <c r="P17" i="4"/>
  <c r="M17" i="4"/>
  <c r="J17" i="4"/>
  <c r="R18" i="4"/>
  <c r="S18" i="4"/>
  <c r="T18" i="4"/>
  <c r="P18" i="4"/>
  <c r="M18" i="4"/>
  <c r="J18" i="4"/>
  <c r="R19" i="4"/>
  <c r="S19" i="4"/>
  <c r="T19" i="4"/>
  <c r="P19" i="4"/>
  <c r="M19" i="4"/>
  <c r="J19" i="4"/>
  <c r="P16" i="4"/>
  <c r="M16" i="4"/>
  <c r="J16" i="4"/>
  <c r="L7" i="4"/>
  <c r="O7" i="4"/>
  <c r="I7" i="4"/>
  <c r="N7" i="4"/>
  <c r="Q7" i="4"/>
  <c r="K7" i="4"/>
  <c r="H7" i="4"/>
  <c r="L10" i="4"/>
  <c r="O10" i="4"/>
  <c r="I10" i="4"/>
  <c r="N10" i="4"/>
  <c r="Q10" i="4"/>
  <c r="K10" i="4"/>
  <c r="H10" i="4"/>
  <c r="L9" i="4"/>
  <c r="O9" i="4"/>
  <c r="I9" i="4"/>
  <c r="N9" i="4"/>
  <c r="Q9" i="4"/>
  <c r="K9" i="4"/>
  <c r="H9" i="4"/>
  <c r="L8" i="4"/>
  <c r="O8" i="4"/>
  <c r="I8" i="4"/>
  <c r="N8" i="4"/>
  <c r="Q8" i="4"/>
  <c r="K8" i="4"/>
  <c r="H8" i="4"/>
  <c r="D7" i="4"/>
  <c r="D9" i="4"/>
  <c r="D8" i="4"/>
  <c r="D10" i="4"/>
  <c r="P7" i="4"/>
  <c r="P9" i="4"/>
  <c r="P8" i="4"/>
  <c r="M7" i="4"/>
  <c r="J7" i="4"/>
  <c r="M9" i="4"/>
  <c r="J9" i="4"/>
  <c r="M8" i="4"/>
  <c r="J8" i="4"/>
  <c r="M10" i="4"/>
  <c r="P10" i="4"/>
  <c r="J10" i="4"/>
  <c r="R7" i="4"/>
  <c r="S7" i="4"/>
  <c r="T7" i="4"/>
  <c r="R9" i="4"/>
  <c r="S9" i="4"/>
  <c r="T9" i="4"/>
  <c r="R8" i="4"/>
  <c r="S8" i="4"/>
  <c r="T8" i="4"/>
  <c r="R10" i="4"/>
  <c r="S10" i="4"/>
  <c r="T10" i="4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13" i="5"/>
  <c r="E10" i="4"/>
  <c r="E8" i="4"/>
  <c r="E9" i="4"/>
  <c r="E7" i="4"/>
  <c r="F7" i="4"/>
  <c r="B7" i="4"/>
  <c r="F9" i="4"/>
  <c r="B9" i="4"/>
  <c r="F8" i="4"/>
  <c r="B8" i="4"/>
  <c r="F10" i="4"/>
  <c r="B10" i="4"/>
  <c r="E16" i="4"/>
  <c r="E17" i="4"/>
  <c r="E18" i="4"/>
  <c r="E19" i="4"/>
  <c r="F16" i="4"/>
  <c r="B16" i="4"/>
  <c r="F19" i="4"/>
  <c r="B19" i="4"/>
  <c r="F18" i="4"/>
  <c r="B18" i="4"/>
  <c r="F17" i="4"/>
  <c r="B17" i="4"/>
  <c r="E37" i="4"/>
  <c r="E35" i="4"/>
  <c r="E36" i="4"/>
  <c r="E34" i="4"/>
  <c r="F37" i="4"/>
  <c r="B37" i="4"/>
  <c r="F36" i="4"/>
  <c r="B36" i="4"/>
  <c r="F34" i="4"/>
  <c r="B34" i="4"/>
  <c r="F35" i="4"/>
  <c r="B35" i="4"/>
  <c r="E45" i="4"/>
  <c r="E44" i="4"/>
  <c r="E43" i="4"/>
  <c r="E46" i="4"/>
  <c r="F45" i="4"/>
  <c r="B45" i="4"/>
  <c r="F44" i="4"/>
  <c r="B44" i="4"/>
  <c r="F43" i="4"/>
  <c r="B43" i="4"/>
  <c r="F46" i="4"/>
  <c r="B46" i="4"/>
  <c r="E55" i="4"/>
  <c r="E53" i="4"/>
  <c r="E52" i="4"/>
  <c r="E54" i="4"/>
  <c r="F55" i="4"/>
  <c r="B55" i="4"/>
  <c r="F53" i="4"/>
  <c r="B53" i="4"/>
  <c r="F52" i="4"/>
  <c r="B52" i="4"/>
  <c r="F54" i="4"/>
  <c r="B54" i="4"/>
  <c r="E26" i="4"/>
  <c r="E25" i="4"/>
  <c r="E28" i="4"/>
  <c r="E27" i="4"/>
  <c r="F26" i="4"/>
  <c r="B26" i="4"/>
  <c r="F27" i="4"/>
  <c r="B27" i="4"/>
  <c r="F25" i="4"/>
  <c r="B25" i="4"/>
  <c r="F28" i="4"/>
  <c r="B28" i="4"/>
  <c r="B343" i="7"/>
  <c r="B344" i="7"/>
  <c r="B345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D377" i="7"/>
  <c r="C377" i="7"/>
  <c r="D376" i="7"/>
  <c r="C376" i="7"/>
  <c r="D375" i="7"/>
  <c r="C375" i="7"/>
  <c r="D374" i="7"/>
  <c r="C374" i="7"/>
  <c r="D373" i="7"/>
  <c r="C373" i="7"/>
  <c r="D372" i="7"/>
  <c r="C372" i="7"/>
  <c r="D371" i="7"/>
  <c r="C371" i="7"/>
  <c r="D370" i="7"/>
  <c r="C370" i="7"/>
  <c r="D369" i="7"/>
  <c r="C369" i="7"/>
  <c r="D368" i="7"/>
  <c r="C368" i="7"/>
  <c r="D367" i="7"/>
  <c r="C367" i="7"/>
  <c r="D366" i="7"/>
  <c r="C366" i="7"/>
  <c r="D365" i="7"/>
  <c r="C365" i="7"/>
  <c r="D364" i="7"/>
  <c r="C364" i="7"/>
  <c r="D363" i="7"/>
  <c r="C363" i="7"/>
  <c r="D362" i="7"/>
  <c r="C362" i="7"/>
  <c r="D361" i="7"/>
  <c r="C361" i="7"/>
  <c r="D360" i="7"/>
  <c r="C360" i="7"/>
  <c r="D359" i="7"/>
  <c r="C359" i="7"/>
  <c r="D358" i="7"/>
  <c r="C358" i="7"/>
  <c r="D357" i="7"/>
  <c r="C357" i="7"/>
  <c r="D356" i="7"/>
  <c r="C356" i="7"/>
  <c r="D355" i="7"/>
  <c r="C355" i="7"/>
  <c r="D354" i="7"/>
  <c r="C354" i="7"/>
  <c r="D353" i="7"/>
  <c r="C353" i="7"/>
  <c r="D352" i="7"/>
  <c r="C352" i="7"/>
  <c r="D351" i="7"/>
  <c r="C351" i="7"/>
  <c r="D350" i="7"/>
  <c r="C350" i="7"/>
  <c r="D349" i="7"/>
  <c r="C349" i="7"/>
  <c r="D348" i="7"/>
  <c r="C348" i="7"/>
  <c r="D347" i="7"/>
  <c r="C347" i="7"/>
  <c r="D346" i="7"/>
  <c r="C346" i="7"/>
  <c r="D345" i="7"/>
  <c r="C345" i="7"/>
  <c r="D344" i="7"/>
  <c r="C344" i="7"/>
  <c r="D343" i="7"/>
  <c r="C343" i="7"/>
  <c r="D342" i="7"/>
  <c r="C342" i="7"/>
  <c r="B342" i="7"/>
  <c r="K1" i="5"/>
  <c r="B2" i="7"/>
  <c r="D322" i="7"/>
  <c r="D321" i="7"/>
  <c r="D320" i="7"/>
  <c r="D319" i="7"/>
  <c r="D318" i="7"/>
  <c r="C322" i="7"/>
  <c r="C321" i="7"/>
  <c r="C320" i="7"/>
  <c r="C319" i="7"/>
  <c r="C318" i="7"/>
  <c r="B322" i="7"/>
  <c r="B321" i="7"/>
  <c r="B320" i="7"/>
  <c r="B319" i="7"/>
  <c r="B318" i="7"/>
  <c r="E371" i="7"/>
  <c r="E370" i="7"/>
  <c r="E369" i="7"/>
  <c r="E368" i="7"/>
  <c r="E367" i="7"/>
  <c r="E366" i="7"/>
  <c r="E365" i="7"/>
  <c r="E364" i="7"/>
  <c r="E363" i="7"/>
  <c r="E362" i="7"/>
  <c r="E361" i="7"/>
  <c r="E360" i="7"/>
  <c r="E359" i="7"/>
  <c r="E358" i="7"/>
  <c r="E357" i="7"/>
  <c r="E356" i="7"/>
  <c r="E355" i="7"/>
  <c r="E354" i="7"/>
  <c r="E353" i="7"/>
  <c r="E352" i="7"/>
  <c r="E351" i="7"/>
  <c r="E350" i="7"/>
  <c r="E349" i="7"/>
  <c r="E348" i="7"/>
  <c r="E347" i="7"/>
  <c r="E346" i="7"/>
  <c r="E345" i="7"/>
  <c r="E344" i="7"/>
  <c r="E343" i="7"/>
  <c r="E342" i="7"/>
  <c r="E287" i="7"/>
  <c r="E67" i="7"/>
  <c r="D26" i="10"/>
  <c r="B287" i="7"/>
  <c r="B67" i="7"/>
  <c r="D25" i="10"/>
  <c r="D287" i="7"/>
  <c r="D67" i="7"/>
  <c r="D23" i="10"/>
  <c r="C287" i="7"/>
  <c r="C67" i="7"/>
  <c r="D24" i="10"/>
  <c r="E299" i="7"/>
  <c r="E79" i="7"/>
  <c r="P26" i="10"/>
  <c r="E298" i="7"/>
  <c r="E78" i="7"/>
  <c r="O26" i="10"/>
  <c r="E297" i="7"/>
  <c r="E77" i="7"/>
  <c r="N26" i="10"/>
  <c r="E296" i="7"/>
  <c r="E76" i="7"/>
  <c r="M26" i="10"/>
  <c r="E295" i="7"/>
  <c r="E75" i="7"/>
  <c r="L26" i="10"/>
  <c r="E294" i="7"/>
  <c r="E74" i="7"/>
  <c r="K26" i="10"/>
  <c r="E293" i="7"/>
  <c r="E73" i="7"/>
  <c r="J26" i="10"/>
  <c r="E292" i="7"/>
  <c r="E72" i="7"/>
  <c r="I26" i="10"/>
  <c r="E291" i="7"/>
  <c r="E71" i="7"/>
  <c r="H26" i="10"/>
  <c r="E290" i="7"/>
  <c r="E70" i="7"/>
  <c r="G26" i="10"/>
  <c r="E289" i="7"/>
  <c r="E69" i="7"/>
  <c r="F26" i="10"/>
  <c r="E288" i="7"/>
  <c r="E68" i="7"/>
  <c r="E26" i="10"/>
  <c r="B299" i="7"/>
  <c r="B79" i="7"/>
  <c r="P25" i="10"/>
  <c r="B298" i="7"/>
  <c r="B78" i="7"/>
  <c r="O25" i="10"/>
  <c r="B297" i="7"/>
  <c r="B77" i="7"/>
  <c r="N25" i="10"/>
  <c r="B296" i="7"/>
  <c r="B76" i="7"/>
  <c r="M25" i="10"/>
  <c r="B295" i="7"/>
  <c r="B75" i="7"/>
  <c r="L25" i="10"/>
  <c r="B294" i="7"/>
  <c r="B74" i="7"/>
  <c r="K25" i="10"/>
  <c r="B293" i="7"/>
  <c r="B73" i="7"/>
  <c r="J25" i="10"/>
  <c r="B292" i="7"/>
  <c r="B72" i="7"/>
  <c r="I25" i="10"/>
  <c r="B291" i="7"/>
  <c r="B71" i="7"/>
  <c r="H25" i="10"/>
  <c r="B290" i="7"/>
  <c r="B70" i="7"/>
  <c r="G25" i="10"/>
  <c r="B289" i="7"/>
  <c r="B69" i="7"/>
  <c r="F25" i="10"/>
  <c r="B288" i="7"/>
  <c r="B68" i="7"/>
  <c r="E25" i="10"/>
  <c r="D299" i="7"/>
  <c r="D79" i="7"/>
  <c r="P23" i="10"/>
  <c r="D298" i="7"/>
  <c r="D78" i="7"/>
  <c r="O23" i="10"/>
  <c r="D297" i="7"/>
  <c r="D77" i="7"/>
  <c r="N23" i="10"/>
  <c r="D296" i="7"/>
  <c r="D76" i="7"/>
  <c r="M23" i="10"/>
  <c r="D295" i="7"/>
  <c r="D75" i="7"/>
  <c r="L23" i="10"/>
  <c r="D294" i="7"/>
  <c r="D74" i="7"/>
  <c r="K23" i="10"/>
  <c r="D293" i="7"/>
  <c r="D73" i="7"/>
  <c r="J23" i="10"/>
  <c r="D292" i="7"/>
  <c r="D72" i="7"/>
  <c r="I23" i="10"/>
  <c r="D291" i="7"/>
  <c r="D71" i="7"/>
  <c r="H23" i="10"/>
  <c r="D290" i="7"/>
  <c r="D70" i="7"/>
  <c r="G23" i="10"/>
  <c r="D289" i="7"/>
  <c r="D69" i="7"/>
  <c r="F23" i="10"/>
  <c r="D288" i="7"/>
  <c r="D68" i="7"/>
  <c r="E23" i="10"/>
  <c r="C299" i="7"/>
  <c r="C79" i="7"/>
  <c r="P24" i="10"/>
  <c r="C298" i="7"/>
  <c r="C78" i="7"/>
  <c r="O24" i="10"/>
  <c r="C297" i="7"/>
  <c r="C77" i="7"/>
  <c r="N24" i="10"/>
  <c r="C296" i="7"/>
  <c r="C76" i="7"/>
  <c r="M24" i="10"/>
  <c r="C295" i="7"/>
  <c r="C75" i="7"/>
  <c r="L24" i="10"/>
  <c r="C294" i="7"/>
  <c r="C74" i="7"/>
  <c r="K24" i="10"/>
  <c r="C293" i="7"/>
  <c r="C73" i="7"/>
  <c r="J24" i="10"/>
  <c r="C292" i="7"/>
  <c r="C72" i="7"/>
  <c r="I24" i="10"/>
  <c r="C291" i="7"/>
  <c r="C71" i="7"/>
  <c r="H24" i="10"/>
  <c r="C290" i="7"/>
  <c r="C70" i="7"/>
  <c r="G24" i="10"/>
  <c r="C289" i="7"/>
  <c r="C69" i="7"/>
  <c r="F24" i="10"/>
  <c r="C288" i="7"/>
  <c r="C68" i="7"/>
  <c r="E24" i="10"/>
  <c r="E316" i="7"/>
  <c r="E96" i="7"/>
  <c r="AG26" i="10"/>
  <c r="E315" i="7"/>
  <c r="E95" i="7"/>
  <c r="AF26" i="10"/>
  <c r="E314" i="7"/>
  <c r="E94" i="7"/>
  <c r="AE26" i="10"/>
  <c r="E313" i="7"/>
  <c r="E93" i="7"/>
  <c r="AD26" i="10"/>
  <c r="E312" i="7"/>
  <c r="E92" i="7"/>
  <c r="AC26" i="10"/>
  <c r="E311" i="7"/>
  <c r="E91" i="7"/>
  <c r="AB26" i="10"/>
  <c r="E310" i="7"/>
  <c r="E90" i="7"/>
  <c r="AA26" i="10"/>
  <c r="E309" i="7"/>
  <c r="E89" i="7"/>
  <c r="Z26" i="10"/>
  <c r="E308" i="7"/>
  <c r="E88" i="7"/>
  <c r="Y26" i="10"/>
  <c r="E307" i="7"/>
  <c r="E87" i="7"/>
  <c r="X26" i="10"/>
  <c r="E306" i="7"/>
  <c r="E86" i="7"/>
  <c r="W26" i="10"/>
  <c r="E305" i="7"/>
  <c r="E85" i="7"/>
  <c r="V26" i="10"/>
  <c r="E304" i="7"/>
  <c r="E84" i="7"/>
  <c r="U26" i="10"/>
  <c r="E303" i="7"/>
  <c r="E83" i="7"/>
  <c r="T26" i="10"/>
  <c r="E302" i="7"/>
  <c r="E82" i="7"/>
  <c r="S26" i="10"/>
  <c r="E301" i="7"/>
  <c r="E81" i="7"/>
  <c r="R26" i="10"/>
  <c r="E300" i="7"/>
  <c r="E80" i="7"/>
  <c r="Q26" i="10"/>
  <c r="B316" i="7"/>
  <c r="B96" i="7"/>
  <c r="AG25" i="10"/>
  <c r="B315" i="7"/>
  <c r="B95" i="7"/>
  <c r="AF25" i="10"/>
  <c r="B314" i="7"/>
  <c r="B94" i="7"/>
  <c r="AE25" i="10"/>
  <c r="B313" i="7"/>
  <c r="B93" i="7"/>
  <c r="AD25" i="10"/>
  <c r="B312" i="7"/>
  <c r="B92" i="7"/>
  <c r="AC25" i="10"/>
  <c r="B311" i="7"/>
  <c r="B91" i="7"/>
  <c r="AB25" i="10"/>
  <c r="B310" i="7"/>
  <c r="B90" i="7"/>
  <c r="AA25" i="10"/>
  <c r="B309" i="7"/>
  <c r="B89" i="7"/>
  <c r="Z25" i="10"/>
  <c r="B308" i="7"/>
  <c r="B88" i="7"/>
  <c r="Y25" i="10"/>
  <c r="B307" i="7"/>
  <c r="B87" i="7"/>
  <c r="X25" i="10"/>
  <c r="B306" i="7"/>
  <c r="B86" i="7"/>
  <c r="W25" i="10"/>
  <c r="B305" i="7"/>
  <c r="B85" i="7"/>
  <c r="V25" i="10"/>
  <c r="B304" i="7"/>
  <c r="B84" i="7"/>
  <c r="U25" i="10"/>
  <c r="B303" i="7"/>
  <c r="B83" i="7"/>
  <c r="T25" i="10"/>
  <c r="B302" i="7"/>
  <c r="B82" i="7"/>
  <c r="S25" i="10"/>
  <c r="B301" i="7"/>
  <c r="B81" i="7"/>
  <c r="R25" i="10"/>
  <c r="B300" i="7"/>
  <c r="B80" i="7"/>
  <c r="Q25" i="10"/>
  <c r="D316" i="7"/>
  <c r="D96" i="7"/>
  <c r="AG23" i="10"/>
  <c r="D315" i="7"/>
  <c r="D95" i="7"/>
  <c r="AF23" i="10"/>
  <c r="D314" i="7"/>
  <c r="D94" i="7"/>
  <c r="AE23" i="10"/>
  <c r="D313" i="7"/>
  <c r="D93" i="7"/>
  <c r="AD23" i="10"/>
  <c r="D312" i="7"/>
  <c r="D92" i="7"/>
  <c r="AC23" i="10"/>
  <c r="D311" i="7"/>
  <c r="D91" i="7"/>
  <c r="AB23" i="10"/>
  <c r="D310" i="7"/>
  <c r="D90" i="7"/>
  <c r="AA23" i="10"/>
  <c r="D309" i="7"/>
  <c r="D89" i="7"/>
  <c r="Z23" i="10"/>
  <c r="D308" i="7"/>
  <c r="D88" i="7"/>
  <c r="Y23" i="10"/>
  <c r="D307" i="7"/>
  <c r="D87" i="7"/>
  <c r="X23" i="10"/>
  <c r="D306" i="7"/>
  <c r="D86" i="7"/>
  <c r="W23" i="10"/>
  <c r="D305" i="7"/>
  <c r="D85" i="7"/>
  <c r="V23" i="10"/>
  <c r="D304" i="7"/>
  <c r="D84" i="7"/>
  <c r="U23" i="10"/>
  <c r="D303" i="7"/>
  <c r="D83" i="7"/>
  <c r="T23" i="10"/>
  <c r="D302" i="7"/>
  <c r="D82" i="7"/>
  <c r="S23" i="10"/>
  <c r="D301" i="7"/>
  <c r="D81" i="7"/>
  <c r="R23" i="10"/>
  <c r="D300" i="7"/>
  <c r="D80" i="7"/>
  <c r="Q23" i="10"/>
  <c r="C316" i="7"/>
  <c r="C96" i="7"/>
  <c r="AG24" i="10"/>
  <c r="C315" i="7"/>
  <c r="C95" i="7"/>
  <c r="AF24" i="10"/>
  <c r="C314" i="7"/>
  <c r="C94" i="7"/>
  <c r="AE24" i="10"/>
  <c r="C313" i="7"/>
  <c r="C93" i="7"/>
  <c r="AD24" i="10"/>
  <c r="C312" i="7"/>
  <c r="C92" i="7"/>
  <c r="AC24" i="10"/>
  <c r="C311" i="7"/>
  <c r="C91" i="7"/>
  <c r="AB24" i="10"/>
  <c r="C310" i="7"/>
  <c r="C90" i="7"/>
  <c r="AA24" i="10"/>
  <c r="C309" i="7"/>
  <c r="C89" i="7"/>
  <c r="Z24" i="10"/>
  <c r="C308" i="7"/>
  <c r="C88" i="7"/>
  <c r="Y24" i="10"/>
  <c r="C307" i="7"/>
  <c r="C87" i="7"/>
  <c r="X24" i="10"/>
  <c r="C306" i="7"/>
  <c r="C86" i="7"/>
  <c r="W24" i="10"/>
  <c r="C305" i="7"/>
  <c r="C85" i="7"/>
  <c r="V24" i="10"/>
  <c r="C304" i="7"/>
  <c r="C84" i="7"/>
  <c r="U24" i="10"/>
  <c r="C303" i="7"/>
  <c r="C83" i="7"/>
  <c r="T24" i="10"/>
  <c r="C302" i="7"/>
  <c r="C82" i="7"/>
  <c r="S24" i="10"/>
  <c r="C301" i="7"/>
  <c r="C81" i="7"/>
  <c r="R24" i="10"/>
  <c r="C300" i="7"/>
  <c r="C80" i="7"/>
  <c r="Q24" i="10"/>
  <c r="E317" i="7"/>
  <c r="E97" i="7"/>
  <c r="AH26" i="10"/>
  <c r="B317" i="7"/>
  <c r="B97" i="7"/>
  <c r="AH25" i="10"/>
  <c r="D317" i="7"/>
  <c r="D97" i="7"/>
  <c r="AH23" i="10"/>
  <c r="C317" i="7"/>
  <c r="C97" i="7"/>
  <c r="AH24" i="10"/>
  <c r="F287" i="7"/>
  <c r="F67" i="7"/>
  <c r="D27" i="10"/>
  <c r="F306" i="7"/>
  <c r="F86" i="7"/>
  <c r="W27" i="10"/>
  <c r="F305" i="7"/>
  <c r="F85" i="7"/>
  <c r="V27" i="10"/>
  <c r="F304" i="7"/>
  <c r="F84" i="7"/>
  <c r="U27" i="10"/>
  <c r="F303" i="7"/>
  <c r="F83" i="7"/>
  <c r="T27" i="10"/>
  <c r="F302" i="7"/>
  <c r="F82" i="7"/>
  <c r="S27" i="10"/>
  <c r="F301" i="7"/>
  <c r="F81" i="7"/>
  <c r="R27" i="10"/>
  <c r="F300" i="7"/>
  <c r="F80" i="7"/>
  <c r="Q27" i="10"/>
  <c r="F299" i="7"/>
  <c r="F79" i="7"/>
  <c r="P27" i="10"/>
  <c r="F298" i="7"/>
  <c r="F78" i="7"/>
  <c r="O27" i="10"/>
  <c r="F297" i="7"/>
  <c r="F77" i="7"/>
  <c r="N27" i="10"/>
  <c r="F296" i="7"/>
  <c r="F76" i="7"/>
  <c r="M27" i="10"/>
  <c r="F295" i="7"/>
  <c r="F75" i="7"/>
  <c r="L27" i="10"/>
  <c r="F294" i="7"/>
  <c r="F74" i="7"/>
  <c r="K27" i="10"/>
  <c r="F293" i="7"/>
  <c r="F73" i="7"/>
  <c r="J27" i="10"/>
  <c r="F292" i="7"/>
  <c r="F72" i="7"/>
  <c r="I27" i="10"/>
  <c r="F291" i="7"/>
  <c r="F71" i="7"/>
  <c r="H27" i="10"/>
  <c r="F290" i="7"/>
  <c r="F70" i="7"/>
  <c r="G27" i="10"/>
  <c r="F289" i="7"/>
  <c r="F69" i="7"/>
  <c r="F27" i="10"/>
  <c r="F288" i="7"/>
  <c r="F68" i="7"/>
  <c r="E27" i="10"/>
  <c r="F307" i="7"/>
  <c r="F87" i="7"/>
  <c r="X27" i="10"/>
  <c r="F317" i="7"/>
  <c r="F97" i="7"/>
  <c r="AH27" i="10"/>
  <c r="F316" i="7"/>
  <c r="F96" i="7"/>
  <c r="AG27" i="10"/>
  <c r="F315" i="7"/>
  <c r="F95" i="7"/>
  <c r="AF27" i="10"/>
  <c r="F314" i="7"/>
  <c r="F94" i="7"/>
  <c r="AE27" i="10"/>
  <c r="F313" i="7"/>
  <c r="F93" i="7"/>
  <c r="AD27" i="10"/>
  <c r="F312" i="7"/>
  <c r="F92" i="7"/>
  <c r="AC27" i="10"/>
  <c r="F311" i="7"/>
  <c r="F91" i="7"/>
  <c r="AB27" i="10"/>
  <c r="F310" i="7"/>
  <c r="F90" i="7"/>
  <c r="AA27" i="10"/>
  <c r="F309" i="7"/>
  <c r="F89" i="7"/>
  <c r="Z27" i="10"/>
  <c r="F308" i="7"/>
  <c r="F88" i="7"/>
  <c r="Y27" i="10"/>
</calcChain>
</file>

<file path=xl/sharedStrings.xml><?xml version="1.0" encoding="utf-8"?>
<sst xmlns="http://schemas.openxmlformats.org/spreadsheetml/2006/main" count="2502" uniqueCount="190">
  <si>
    <t>Regler:</t>
  </si>
  <si>
    <t xml:space="preserve"> </t>
  </si>
  <si>
    <t>Insats: 50 tändstickor</t>
  </si>
  <si>
    <t>Rätt tippad matchutgång (rätt segrare/oavgjort) i gruppspelet ger 2 poäng per match. (Totalt 96 poäng)</t>
  </si>
  <si>
    <t>Sänd ifylld tipskupong till:</t>
  </si>
  <si>
    <t>Emil</t>
  </si>
  <si>
    <t>Poäng för</t>
  </si>
  <si>
    <t>Rätt tippat resultat ger ytterligare 1 poäng för den matchen (Totalt 48 poäng)</t>
  </si>
  <si>
    <t>Vinster:</t>
  </si>
  <si>
    <t>Åttondelsfinal</t>
  </si>
  <si>
    <t xml:space="preserve">1:a </t>
  </si>
  <si>
    <t>60 % av spelsumman</t>
  </si>
  <si>
    <t>Kvartsfinal</t>
  </si>
  <si>
    <t>Rätt tippad matchutgång i slutspelet ger 4/6/10/14/16 poäng per åttondel/kvart/semi/brons/final. (Totalt 106 poäng)</t>
  </si>
  <si>
    <t>2:a</t>
  </si>
  <si>
    <t>30 % av spelsumman</t>
  </si>
  <si>
    <t>Semifinal</t>
  </si>
  <si>
    <t>Alla deltagare tippar slutspelet utgående från de lag som faktiskt tog sig dit.</t>
  </si>
  <si>
    <t>3:a</t>
  </si>
  <si>
    <t>10 % av spelsumman</t>
  </si>
  <si>
    <t>Brons</t>
  </si>
  <si>
    <t>En andra tipsomgång görs således i samband med att slutspelet börjar.</t>
  </si>
  <si>
    <t>Två som delar på 1:a plats får dela på 90 % av spelsumman</t>
  </si>
  <si>
    <t>Final</t>
  </si>
  <si>
    <t>Varje mål av 3 (av dig) utvalda målskyttar ger 2 poäng per mål.</t>
  </si>
  <si>
    <t>Tre eller flera som delar på 1:a plats får dela på 100 % av spelsumman</t>
  </si>
  <si>
    <t>Ett (av dig) utsett defensivlag ger 2 poäng per match de håller nollan i. (Totalt max 14 poäng)</t>
  </si>
  <si>
    <t>Två eller flera som delar på 2:a platsen får dela på 40 % av spelsumman</t>
  </si>
  <si>
    <r>
      <t xml:space="preserve">Målskyttar och defensivlag får </t>
    </r>
    <r>
      <rPr>
        <u/>
        <sz val="9"/>
        <rFont val="Arial"/>
        <family val="2"/>
      </rPr>
      <t>inte</t>
    </r>
    <r>
      <rPr>
        <sz val="9"/>
        <rFont val="Arial"/>
        <family val="2"/>
      </rPr>
      <t xml:space="preserve"> väljas om i den andra tipsomgången.</t>
    </r>
  </si>
  <si>
    <t>Tips inskickat efter matchstart är ogiltiga och ger noll poäng per ogiltigt tips.</t>
  </si>
  <si>
    <t>Match #</t>
  </si>
  <si>
    <t>Datum</t>
  </si>
  <si>
    <t>Tid</t>
  </si>
  <si>
    <t>Grupp</t>
  </si>
  <si>
    <t>Lag</t>
  </si>
  <si>
    <t>Resultat</t>
  </si>
  <si>
    <t>Målskyttar -&gt;</t>
  </si>
  <si>
    <t>22.00</t>
  </si>
  <si>
    <t>A</t>
  </si>
  <si>
    <t>-</t>
  </si>
  <si>
    <t>Kroatien</t>
  </si>
  <si>
    <t>18.00</t>
  </si>
  <si>
    <t>21.00</t>
  </si>
  <si>
    <t>B</t>
  </si>
  <si>
    <t>Spanien</t>
  </si>
  <si>
    <t>C</t>
  </si>
  <si>
    <t>D</t>
  </si>
  <si>
    <t>England</t>
  </si>
  <si>
    <t>Italien</t>
  </si>
  <si>
    <t>E</t>
  </si>
  <si>
    <t>Schweiz</t>
  </si>
  <si>
    <t>Frankrike</t>
  </si>
  <si>
    <t>F</t>
  </si>
  <si>
    <t>Tyskland</t>
  </si>
  <si>
    <t>Portugal</t>
  </si>
  <si>
    <t>Belgien</t>
  </si>
  <si>
    <t>Ryssland</t>
  </si>
  <si>
    <t>Semi 1</t>
  </si>
  <si>
    <t>Semi 2</t>
  </si>
  <si>
    <t>15.00</t>
  </si>
  <si>
    <t>Rumänien</t>
  </si>
  <si>
    <t>Albanien</t>
  </si>
  <si>
    <t>Wales</t>
  </si>
  <si>
    <t>Slovakien</t>
  </si>
  <si>
    <t>Turkiet</t>
  </si>
  <si>
    <t>Polen</t>
  </si>
  <si>
    <t>Nordirland</t>
  </si>
  <si>
    <t>Ukraina</t>
  </si>
  <si>
    <t>Tjeckien</t>
  </si>
  <si>
    <t>Irland</t>
  </si>
  <si>
    <t>Sverige</t>
  </si>
  <si>
    <t>Österrike</t>
  </si>
  <si>
    <t>Ungern</t>
  </si>
  <si>
    <t>Island</t>
  </si>
  <si>
    <t>Grupp A</t>
  </si>
  <si>
    <t>Ranking</t>
  </si>
  <si>
    <t>Hemma</t>
  </si>
  <si>
    <t>Borta</t>
  </si>
  <si>
    <t>Placering</t>
  </si>
  <si>
    <t>P</t>
  </si>
  <si>
    <t>MS</t>
  </si>
  <si>
    <t>GM</t>
  </si>
  <si>
    <t>IM</t>
  </si>
  <si>
    <t>Grupp B</t>
  </si>
  <si>
    <t>Grupp C</t>
  </si>
  <si>
    <t>Grupp D</t>
  </si>
  <si>
    <t>Grupp E</t>
  </si>
  <si>
    <t>Grupp F</t>
  </si>
  <si>
    <t>Nordriland</t>
  </si>
  <si>
    <t>Välkommen till RTCC EM-tips 2016</t>
  </si>
  <si>
    <t>Poäng</t>
  </si>
  <si>
    <t>Defensivlag:</t>
  </si>
  <si>
    <t>Målgörare 1:</t>
  </si>
  <si>
    <t>Målgörare 2:</t>
  </si>
  <si>
    <t>Målgörare 3:</t>
  </si>
  <si>
    <t>Total p =</t>
  </si>
  <si>
    <t>1x2</t>
  </si>
  <si>
    <t>Jocke</t>
  </si>
  <si>
    <t>Markus</t>
  </si>
  <si>
    <t>Total poäng</t>
  </si>
  <si>
    <t>Antal 3p</t>
  </si>
  <si>
    <t>Antal 2p</t>
  </si>
  <si>
    <t>Match</t>
  </si>
  <si>
    <t>Placering p</t>
  </si>
  <si>
    <t>Placering 3p</t>
  </si>
  <si>
    <t>Placering 2p</t>
  </si>
  <si>
    <t>Målskyttar</t>
  </si>
  <si>
    <t>Defensivlag</t>
  </si>
  <si>
    <t>Max poäng för en match</t>
  </si>
  <si>
    <t>INDIREKT(K$10&amp;"!$K$"&amp;$A11+12)</t>
  </si>
  <si>
    <t>Spelare1</t>
  </si>
  <si>
    <t>Spelare2</t>
  </si>
  <si>
    <t>Spelare3</t>
  </si>
  <si>
    <t>Spelare4</t>
  </si>
  <si>
    <t>Spelare5</t>
  </si>
  <si>
    <t>Rätt målskytt</t>
  </si>
  <si>
    <t>Rätt resultat</t>
  </si>
  <si>
    <t>Rätt vinnare</t>
  </si>
  <si>
    <t>Rickard</t>
  </si>
  <si>
    <t>Poängliga</t>
  </si>
  <si>
    <t>HW</t>
  </si>
  <si>
    <t>HL</t>
  </si>
  <si>
    <t>HO</t>
  </si>
  <si>
    <t>AW</t>
  </si>
  <si>
    <t>AL</t>
  </si>
  <si>
    <t>AO</t>
  </si>
  <si>
    <t>R1</t>
  </si>
  <si>
    <t>R2</t>
  </si>
  <si>
    <t>R3</t>
  </si>
  <si>
    <t>IG</t>
  </si>
  <si>
    <t>Pl</t>
  </si>
  <si>
    <t>V</t>
  </si>
  <si>
    <t>O</t>
  </si>
  <si>
    <t>Kolumn1</t>
  </si>
  <si>
    <t>Kolumn2</t>
  </si>
  <si>
    <t>Kolumn3</t>
  </si>
  <si>
    <t>Kolumn4</t>
  </si>
  <si>
    <t>Kolumn5</t>
  </si>
  <si>
    <t>Kolumn6</t>
  </si>
  <si>
    <t>Kolumn7</t>
  </si>
  <si>
    <t>Kolumn8</t>
  </si>
  <si>
    <t>Kolumn9</t>
  </si>
  <si>
    <t>Kolumn10</t>
  </si>
  <si>
    <t>Kolumn11</t>
  </si>
  <si>
    <t>Kolumn12</t>
  </si>
  <si>
    <t>Kolumn13</t>
  </si>
  <si>
    <t>Kolumn14</t>
  </si>
  <si>
    <t>Kolumn15</t>
  </si>
  <si>
    <t>Kolumn16</t>
  </si>
  <si>
    <t>Kolumn17</t>
  </si>
  <si>
    <t>Kolumn18</t>
  </si>
  <si>
    <t>Kolumn19</t>
  </si>
  <si>
    <t>Kolumn20</t>
  </si>
  <si>
    <t>Kolumn21</t>
  </si>
  <si>
    <t>Kolumn22</t>
  </si>
  <si>
    <t>Kolumn23</t>
  </si>
  <si>
    <t>Kolumn24</t>
  </si>
  <si>
    <t>Kolumn25</t>
  </si>
  <si>
    <t>Kolumn26</t>
  </si>
  <si>
    <t>Kolumn27</t>
  </si>
  <si>
    <t>Kolumn28</t>
  </si>
  <si>
    <t>Kolumn29</t>
  </si>
  <si>
    <t>Kolumn30</t>
  </si>
  <si>
    <t>Kolumn31</t>
  </si>
  <si>
    <t>Kolumn32</t>
  </si>
  <si>
    <t>Kolumn33</t>
  </si>
  <si>
    <t>Kolumn34</t>
  </si>
  <si>
    <t>Kolumn35</t>
  </si>
  <si>
    <t>Kolumn36</t>
  </si>
  <si>
    <t>Kolumn37</t>
  </si>
  <si>
    <t>Kolumn38</t>
  </si>
  <si>
    <t>Kolumn39</t>
  </si>
  <si>
    <t>Kolumn40</t>
  </si>
  <si>
    <t>Kolumn41</t>
  </si>
  <si>
    <t>Kolumn42</t>
  </si>
  <si>
    <t>Kolumn43</t>
  </si>
  <si>
    <t>Kolumn44</t>
  </si>
  <si>
    <t>Kolumn45</t>
  </si>
  <si>
    <t>Kolumn46</t>
  </si>
  <si>
    <t>Kolumn47</t>
  </si>
  <si>
    <t>Kolumn48</t>
  </si>
  <si>
    <t>Kolumn49</t>
  </si>
  <si>
    <t>Kolumn50</t>
  </si>
  <si>
    <t>Kolumn51</t>
  </si>
  <si>
    <t>Kolumn52</t>
  </si>
  <si>
    <t>Kolumn53</t>
  </si>
  <si>
    <t>Spelare nr</t>
  </si>
  <si>
    <t>Tomas</t>
  </si>
  <si>
    <t>Antal deltagare:</t>
  </si>
  <si>
    <t>Kalle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</si>
</sst>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sz val="10"/>
      <color theme="1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sz val="12"/>
      <color rgb="FF000000"/>
      <name val="Helvetica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4">
    <xf numFmtId="0" fontId="0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00">
    <xf numFmtId="0" fontId="0" fillId="0" borderId="0" xfId="0"/>
    <xf numFmtId="0" fontId="2" fillId="2" borderId="1" xfId="1" applyFont="1" applyFill="1" applyBorder="1" applyProtection="1"/>
    <xf numFmtId="0" fontId="2" fillId="2" borderId="2" xfId="1" applyFont="1" applyFill="1" applyBorder="1" applyProtection="1"/>
    <xf numFmtId="0" fontId="3" fillId="2" borderId="2" xfId="1" applyFont="1" applyFill="1" applyBorder="1" applyProtection="1"/>
    <xf numFmtId="0" fontId="3" fillId="2" borderId="0" xfId="1" applyFont="1" applyFill="1" applyBorder="1" applyAlignment="1" applyProtection="1"/>
    <xf numFmtId="0" fontId="5" fillId="2" borderId="4" xfId="1" applyFont="1" applyFill="1" applyBorder="1" applyProtection="1"/>
    <xf numFmtId="0" fontId="5" fillId="2" borderId="5" xfId="1" applyFont="1" applyFill="1" applyBorder="1" applyProtection="1"/>
    <xf numFmtId="0" fontId="1" fillId="2" borderId="5" xfId="1" applyFill="1" applyBorder="1" applyProtection="1"/>
    <xf numFmtId="0" fontId="1" fillId="2" borderId="5" xfId="1" applyFill="1" applyBorder="1" applyAlignment="1" applyProtection="1"/>
    <xf numFmtId="0" fontId="5" fillId="4" borderId="8" xfId="1" applyFont="1" applyFill="1" applyBorder="1" applyProtection="1"/>
    <xf numFmtId="0" fontId="5" fillId="4" borderId="9" xfId="1" applyFont="1" applyFill="1" applyBorder="1" applyProtection="1"/>
    <xf numFmtId="0" fontId="6" fillId="4" borderId="9" xfId="2" applyFill="1" applyBorder="1" applyAlignment="1" applyProtection="1"/>
    <xf numFmtId="0" fontId="1" fillId="4" borderId="9" xfId="1" applyFill="1" applyBorder="1" applyProtection="1"/>
    <xf numFmtId="0" fontId="7" fillId="5" borderId="1" xfId="1" applyFont="1" applyFill="1" applyBorder="1" applyProtection="1"/>
    <xf numFmtId="0" fontId="7" fillId="5" borderId="2" xfId="1" applyFont="1" applyFill="1" applyBorder="1" applyProtection="1"/>
    <xf numFmtId="0" fontId="7" fillId="5" borderId="2" xfId="1" applyFont="1" applyFill="1" applyBorder="1" applyAlignment="1" applyProtection="1"/>
    <xf numFmtId="0" fontId="7" fillId="5" borderId="2" xfId="1" applyFont="1" applyFill="1" applyBorder="1" applyAlignment="1" applyProtection="1">
      <alignment horizontal="left"/>
    </xf>
    <xf numFmtId="0" fontId="7" fillId="5" borderId="6" xfId="1" applyFont="1" applyFill="1" applyBorder="1" applyProtection="1"/>
    <xf numFmtId="0" fontId="7" fillId="5" borderId="0" xfId="1" applyFont="1" applyFill="1" applyBorder="1" applyProtection="1"/>
    <xf numFmtId="0" fontId="7" fillId="5" borderId="0" xfId="1" applyFont="1" applyFill="1" applyBorder="1" applyAlignment="1" applyProtection="1"/>
    <xf numFmtId="0" fontId="7" fillId="5" borderId="0" xfId="1" applyFont="1" applyFill="1" applyBorder="1" applyAlignment="1" applyProtection="1">
      <alignment horizontal="left"/>
    </xf>
    <xf numFmtId="0" fontId="7" fillId="5" borderId="4" xfId="1" applyFont="1" applyFill="1" applyBorder="1" applyProtection="1"/>
    <xf numFmtId="0" fontId="7" fillId="5" borderId="5" xfId="1" applyFont="1" applyFill="1" applyBorder="1" applyProtection="1"/>
    <xf numFmtId="0" fontId="7" fillId="5" borderId="5" xfId="1" applyFont="1" applyFill="1" applyBorder="1" applyAlignment="1" applyProtection="1"/>
    <xf numFmtId="0" fontId="7" fillId="5" borderId="0" xfId="1" applyFont="1" applyFill="1" applyProtection="1"/>
    <xf numFmtId="0" fontId="7" fillId="5" borderId="9" xfId="1" applyFont="1" applyFill="1" applyBorder="1" applyProtection="1"/>
    <xf numFmtId="0" fontId="7" fillId="5" borderId="10" xfId="1" applyFont="1" applyFill="1" applyBorder="1" applyProtection="1"/>
    <xf numFmtId="0" fontId="7" fillId="5" borderId="8" xfId="1" applyFont="1" applyFill="1" applyBorder="1" applyAlignment="1" applyProtection="1">
      <alignment horizontal="center"/>
    </xf>
    <xf numFmtId="0" fontId="7" fillId="5" borderId="9" xfId="1" applyFont="1" applyFill="1" applyBorder="1" applyAlignment="1" applyProtection="1">
      <alignment horizontal="left"/>
    </xf>
    <xf numFmtId="0" fontId="7" fillId="5" borderId="9" xfId="1" applyFont="1" applyFill="1" applyBorder="1" applyAlignment="1" applyProtection="1">
      <alignment horizontal="center"/>
    </xf>
    <xf numFmtId="0" fontId="7" fillId="5" borderId="9" xfId="1" applyFont="1" applyFill="1" applyBorder="1" applyAlignment="1" applyProtection="1">
      <alignment horizontal="left"/>
    </xf>
    <xf numFmtId="0" fontId="4" fillId="3" borderId="1" xfId="3" applyFont="1" applyFill="1" applyBorder="1" applyProtection="1"/>
    <xf numFmtId="0" fontId="9" fillId="3" borderId="2" xfId="3" applyFill="1" applyBorder="1" applyProtection="1"/>
    <xf numFmtId="0" fontId="9" fillId="3" borderId="3" xfId="3" applyFill="1" applyBorder="1" applyProtection="1"/>
    <xf numFmtId="0" fontId="9" fillId="0" borderId="0" xfId="3"/>
    <xf numFmtId="0" fontId="1" fillId="3" borderId="6" xfId="3" applyFont="1" applyFill="1" applyBorder="1" applyProtection="1"/>
    <xf numFmtId="0" fontId="9" fillId="3" borderId="0" xfId="3" applyFill="1" applyBorder="1" applyProtection="1"/>
    <xf numFmtId="0" fontId="9" fillId="3" borderId="7" xfId="3" applyFill="1" applyBorder="1" applyProtection="1"/>
    <xf numFmtId="0" fontId="9" fillId="3" borderId="6" xfId="3" applyFill="1" applyBorder="1" applyProtection="1"/>
    <xf numFmtId="0" fontId="9" fillId="3" borderId="4" xfId="3" applyFill="1" applyBorder="1" applyProtection="1"/>
    <xf numFmtId="0" fontId="9" fillId="3" borderId="5" xfId="3" applyFill="1" applyBorder="1" applyProtection="1"/>
    <xf numFmtId="0" fontId="9" fillId="3" borderId="11" xfId="3" applyFill="1" applyBorder="1" applyProtection="1"/>
    <xf numFmtId="0" fontId="9" fillId="6" borderId="0" xfId="3" applyFill="1" applyAlignment="1">
      <alignment horizontal="center"/>
    </xf>
    <xf numFmtId="14" fontId="9" fillId="6" borderId="6" xfId="3" applyNumberFormat="1" applyFill="1" applyBorder="1" applyAlignment="1">
      <alignment horizontal="left"/>
    </xf>
    <xf numFmtId="0" fontId="9" fillId="6" borderId="7" xfId="3" applyFill="1" applyBorder="1" applyAlignment="1">
      <alignment horizontal="left"/>
    </xf>
    <xf numFmtId="0" fontId="9" fillId="6" borderId="6" xfId="3" applyFill="1" applyBorder="1" applyAlignment="1">
      <alignment horizontal="right"/>
    </xf>
    <xf numFmtId="0" fontId="9" fillId="6" borderId="0" xfId="3" quotePrefix="1" applyFill="1" applyBorder="1" applyAlignment="1">
      <alignment horizontal="center"/>
    </xf>
    <xf numFmtId="0" fontId="9" fillId="6" borderId="7" xfId="3" applyFill="1" applyBorder="1"/>
    <xf numFmtId="0" fontId="9" fillId="6" borderId="6" xfId="3" applyFill="1" applyBorder="1" applyAlignment="1">
      <alignment horizontal="center"/>
    </xf>
    <xf numFmtId="0" fontId="9" fillId="6" borderId="7" xfId="3" applyFill="1" applyBorder="1" applyAlignment="1">
      <alignment horizontal="center"/>
    </xf>
    <xf numFmtId="20" fontId="9" fillId="6" borderId="7" xfId="3" applyNumberFormat="1" applyFill="1" applyBorder="1" applyAlignment="1">
      <alignment horizontal="left"/>
    </xf>
    <xf numFmtId="49" fontId="9" fillId="0" borderId="0" xfId="3" applyNumberFormat="1"/>
    <xf numFmtId="0" fontId="0" fillId="0" borderId="0" xfId="0" applyBorder="1"/>
    <xf numFmtId="0" fontId="11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11" fillId="0" borderId="0" xfId="0" applyFont="1" applyFill="1" applyBorder="1" applyAlignment="1"/>
    <xf numFmtId="0" fontId="9" fillId="6" borderId="12" xfId="3" applyFill="1" applyBorder="1" applyAlignment="1">
      <alignment horizontal="center"/>
    </xf>
    <xf numFmtId="49" fontId="0" fillId="6" borderId="1" xfId="0" applyNumberFormat="1" applyFill="1" applyBorder="1"/>
    <xf numFmtId="0" fontId="0" fillId="6" borderId="2" xfId="0" applyFill="1" applyBorder="1"/>
    <xf numFmtId="0" fontId="0" fillId="6" borderId="3" xfId="0" applyFill="1" applyBorder="1" applyAlignment="1">
      <alignment horizontal="center"/>
    </xf>
    <xf numFmtId="0" fontId="1" fillId="6" borderId="6" xfId="0" applyFont="1" applyFill="1" applyBorder="1"/>
    <xf numFmtId="0" fontId="0" fillId="6" borderId="0" xfId="0" applyFill="1" applyBorder="1"/>
    <xf numFmtId="0" fontId="0" fillId="6" borderId="7" xfId="0" applyFill="1" applyBorder="1" applyAlignment="1">
      <alignment horizontal="center"/>
    </xf>
    <xf numFmtId="0" fontId="1" fillId="6" borderId="4" xfId="0" applyFont="1" applyFill="1" applyBorder="1"/>
    <xf numFmtId="0" fontId="0" fillId="6" borderId="5" xfId="0" applyFill="1" applyBorder="1"/>
    <xf numFmtId="0" fontId="0" fillId="6" borderId="11" xfId="0" applyFill="1" applyBorder="1" applyAlignment="1">
      <alignment horizontal="center"/>
    </xf>
    <xf numFmtId="0" fontId="3" fillId="2" borderId="2" xfId="1" applyFont="1" applyFill="1" applyBorder="1" applyAlignment="1" applyProtection="1">
      <alignment horizontal="left"/>
    </xf>
    <xf numFmtId="0" fontId="7" fillId="5" borderId="9" xfId="1" applyFont="1" applyFill="1" applyBorder="1" applyAlignment="1" applyProtection="1"/>
    <xf numFmtId="0" fontId="9" fillId="0" borderId="0" xfId="3" applyAlignment="1">
      <alignment horizontal="center"/>
    </xf>
    <xf numFmtId="12" fontId="9" fillId="6" borderId="0" xfId="3" applyNumberFormat="1" applyFill="1" applyAlignment="1">
      <alignment horizontal="center"/>
    </xf>
    <xf numFmtId="0" fontId="0" fillId="0" borderId="0" xfId="0" applyNumberFormat="1"/>
    <xf numFmtId="0" fontId="9" fillId="0" borderId="0" xfId="0" applyNumberFormat="1" applyFont="1" applyFill="1" applyBorder="1"/>
    <xf numFmtId="0" fontId="12" fillId="0" borderId="0" xfId="0" applyFont="1" applyBorder="1"/>
    <xf numFmtId="0" fontId="12" fillId="0" borderId="0" xfId="0" applyFont="1"/>
    <xf numFmtId="0" fontId="7" fillId="5" borderId="9" xfId="1" applyFont="1" applyFill="1" applyBorder="1" applyAlignment="1" applyProtection="1">
      <alignment horizontal="center"/>
    </xf>
    <xf numFmtId="0" fontId="7" fillId="5" borderId="9" xfId="1" applyFont="1" applyFill="1" applyBorder="1" applyAlignment="1" applyProtection="1">
      <alignment horizontal="left"/>
    </xf>
    <xf numFmtId="0" fontId="9" fillId="6" borderId="14" xfId="3" applyFill="1" applyBorder="1" applyAlignment="1">
      <alignment horizontal="center"/>
    </xf>
    <xf numFmtId="14" fontId="9" fillId="6" borderId="15" xfId="3" applyNumberFormat="1" applyFill="1" applyBorder="1" applyAlignment="1">
      <alignment horizontal="left"/>
    </xf>
    <xf numFmtId="0" fontId="9" fillId="6" borderId="13" xfId="3" applyFill="1" applyBorder="1" applyAlignment="1">
      <alignment horizontal="left"/>
    </xf>
    <xf numFmtId="0" fontId="9" fillId="6" borderId="15" xfId="3" applyFill="1" applyBorder="1" applyAlignment="1">
      <alignment horizontal="right"/>
    </xf>
    <xf numFmtId="0" fontId="9" fillId="6" borderId="14" xfId="3" quotePrefix="1" applyFill="1" applyBorder="1" applyAlignment="1">
      <alignment horizontal="center"/>
    </xf>
    <xf numFmtId="0" fontId="9" fillId="6" borderId="13" xfId="3" applyFill="1" applyBorder="1"/>
    <xf numFmtId="0" fontId="9" fillId="6" borderId="15" xfId="3" applyFill="1" applyBorder="1" applyAlignment="1">
      <alignment horizontal="center"/>
    </xf>
    <xf numFmtId="0" fontId="9" fillId="6" borderId="13" xfId="3" applyFill="1" applyBorder="1" applyAlignment="1">
      <alignment horizontal="center"/>
    </xf>
    <xf numFmtId="0" fontId="9" fillId="6" borderId="16" xfId="3" applyFill="1" applyBorder="1" applyAlignment="1">
      <alignment horizontal="center"/>
    </xf>
    <xf numFmtId="0" fontId="7" fillId="5" borderId="9" xfId="1" applyFont="1" applyFill="1" applyBorder="1" applyAlignment="1" applyProtection="1">
      <alignment horizontal="center"/>
    </xf>
    <xf numFmtId="0" fontId="7" fillId="5" borderId="9" xfId="1" applyFont="1" applyFill="1" applyBorder="1" applyAlignment="1" applyProtection="1">
      <alignment horizontal="left"/>
    </xf>
    <xf numFmtId="0" fontId="7" fillId="5" borderId="9" xfId="1" applyFont="1" applyFill="1" applyBorder="1" applyAlignment="1" applyProtection="1">
      <alignment horizontal="center"/>
    </xf>
    <xf numFmtId="0" fontId="7" fillId="5" borderId="9" xfId="1" applyFont="1" applyFill="1" applyBorder="1" applyAlignment="1" applyProtection="1">
      <alignment horizontal="left"/>
    </xf>
    <xf numFmtId="0" fontId="13" fillId="2" borderId="2" xfId="1" applyFont="1" applyFill="1" applyBorder="1" applyAlignment="1" applyProtection="1">
      <alignment horizontal="left"/>
    </xf>
    <xf numFmtId="0" fontId="13" fillId="2" borderId="2" xfId="1" applyFont="1" applyFill="1" applyBorder="1" applyAlignment="1" applyProtection="1">
      <alignment horizontal="right"/>
    </xf>
    <xf numFmtId="0" fontId="1" fillId="2" borderId="5" xfId="1" applyFill="1" applyBorder="1" applyAlignment="1" applyProtection="1">
      <alignment horizontal="right"/>
    </xf>
    <xf numFmtId="0" fontId="7" fillId="5" borderId="9" xfId="1" applyFont="1" applyFill="1" applyBorder="1" applyAlignment="1" applyProtection="1">
      <alignment horizontal="center"/>
    </xf>
    <xf numFmtId="0" fontId="7" fillId="5" borderId="9" xfId="1" applyFont="1" applyFill="1" applyBorder="1" applyAlignment="1" applyProtection="1">
      <alignment horizontal="left"/>
    </xf>
    <xf numFmtId="0" fontId="7" fillId="5" borderId="9" xfId="1" applyFont="1" applyFill="1" applyBorder="1" applyAlignment="1" applyProtection="1">
      <alignment horizontal="center"/>
    </xf>
    <xf numFmtId="0" fontId="7" fillId="5" borderId="2" xfId="1" applyFont="1" applyFill="1" applyBorder="1" applyAlignment="1" applyProtection="1">
      <alignment horizontal="center"/>
    </xf>
    <xf numFmtId="0" fontId="7" fillId="5" borderId="9" xfId="1" applyFont="1" applyFill="1" applyBorder="1" applyAlignment="1" applyProtection="1">
      <alignment horizontal="left"/>
    </xf>
    <xf numFmtId="0" fontId="10" fillId="0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 applyProtection="1"/>
  </cellXfs>
  <cellStyles count="4">
    <cellStyle name="Hyperlänk" xfId="2" builtinId="8"/>
    <cellStyle name="Normal" xfId="0" builtinId="0"/>
    <cellStyle name="Normal 2" xfId="3"/>
    <cellStyle name="Normal 3" xfId="1"/>
  </cellStyles>
  <dxfs count="387"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  <dxf>
      <font>
        <color auto="1"/>
      </font>
      <fill>
        <patternFill patternType="solid">
          <fgColor indexed="64"/>
          <bgColor theme="0" tint="-0.34998626667073579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Sortering!$B$7</c:f>
              <c:strCache>
                <c:ptCount val="1"/>
                <c:pt idx="0">
                  <c:v>Rickard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Sortering!$C$5:$BB$5</c:f>
              <c:strCache>
                <c:ptCount val="52"/>
                <c:pt idx="1">
                  <c:v>Frankrike 2 - 4 Rumänien</c:v>
                </c:pt>
                <c:pt idx="2">
                  <c:v>Albanien 1 - 0 Schweiz</c:v>
                </c:pt>
                <c:pt idx="3">
                  <c:v>Wales 2 - 2 Slovakien</c:v>
                </c:pt>
                <c:pt idx="4">
                  <c:v>England 1 - 0 Ryssland</c:v>
                </c:pt>
                <c:pt idx="5">
                  <c:v>Turkiet 2 - 2 Kroatien</c:v>
                </c:pt>
                <c:pt idx="6">
                  <c:v>Polen 1 - 0 Nordirland</c:v>
                </c:pt>
                <c:pt idx="7">
                  <c:v>Tyskland 1 - 0 Ukraina</c:v>
                </c:pt>
                <c:pt idx="8">
                  <c:v>Spanien 2 - 2 Tjeckien</c:v>
                </c:pt>
                <c:pt idx="9">
                  <c:v>Irland 1 - 0 Sverige</c:v>
                </c:pt>
                <c:pt idx="10">
                  <c:v>Belgien 1 - 1 Italien</c:v>
                </c:pt>
                <c:pt idx="11">
                  <c:v>Österrike 2 - 0 Ungern</c:v>
                </c:pt>
                <c:pt idx="12">
                  <c:v>Portugal 1 - 2 Island</c:v>
                </c:pt>
                <c:pt idx="13">
                  <c:v>Ryssland 1 - 1 Slovakien</c:v>
                </c:pt>
                <c:pt idx="14">
                  <c:v>Rumänien 3 - 2 Schweiz</c:v>
                </c:pt>
                <c:pt idx="15">
                  <c:v>Frankrike 2 - 1 Albanien</c:v>
                </c:pt>
                <c:pt idx="16">
                  <c:v>England 1 - 0 Wales</c:v>
                </c:pt>
                <c:pt idx="17">
                  <c:v>Ukraina 1 - 2 Nordirland</c:v>
                </c:pt>
                <c:pt idx="18">
                  <c:v>Tyskland 1 - 1 Polen</c:v>
                </c:pt>
                <c:pt idx="19">
                  <c:v>Italien 1 - 1 Sverige</c:v>
                </c:pt>
                <c:pt idx="20">
                  <c:v>Tjeckien 2 - 2 Kroatien</c:v>
                </c:pt>
                <c:pt idx="21">
                  <c:v>Spanien 1 - 2 Turkiet</c:v>
                </c:pt>
                <c:pt idx="22">
                  <c:v>Belgien 1 - 2 Irland</c:v>
                </c:pt>
                <c:pt idx="23">
                  <c:v>Island 1 - 1 Ungern</c:v>
                </c:pt>
                <c:pt idx="24">
                  <c:v>Portugal 1 - 2 Österrike</c:v>
                </c:pt>
                <c:pt idx="25">
                  <c:v>Schweiz 2 - 0 Frankrike</c:v>
                </c:pt>
                <c:pt idx="26">
                  <c:v>Rumänien 2 - 1 Albanien</c:v>
                </c:pt>
                <c:pt idx="27">
                  <c:v>Slovakien 1 - 0 England</c:v>
                </c:pt>
                <c:pt idx="28">
                  <c:v>Ryssland 1 - 2 Wales</c:v>
                </c:pt>
                <c:pt idx="29">
                  <c:v>Nordirland 1 - 0 Tyskland</c:v>
                </c:pt>
                <c:pt idx="30">
                  <c:v>Ukraina 2 - 2 Polen</c:v>
                </c:pt>
                <c:pt idx="31">
                  <c:v>Kroatien 2 - 2 Spanien</c:v>
                </c:pt>
                <c:pt idx="32">
                  <c:v>Tjeckien  -  Turkiet</c:v>
                </c:pt>
                <c:pt idx="33">
                  <c:v>Ungern  -  Portugal</c:v>
                </c:pt>
                <c:pt idx="34">
                  <c:v>Island  -  Österrike</c:v>
                </c:pt>
                <c:pt idx="35">
                  <c:v>Sverige  -  Belgien</c:v>
                </c:pt>
                <c:pt idx="36">
                  <c:v>Italien  -  Irland</c:v>
                </c:pt>
                <c:pt idx="37">
                  <c:v>Schweiz  -  Tyskland</c:v>
                </c:pt>
                <c:pt idx="38">
                  <c:v>England  -  </c:v>
                </c:pt>
                <c:pt idx="39">
                  <c:v>Turkiet  -  </c:v>
                </c:pt>
                <c:pt idx="40">
                  <c:v>Rumänien  -  </c:v>
                </c:pt>
                <c:pt idx="41">
                  <c:v>Polen  -  </c:v>
                </c:pt>
                <c:pt idx="42">
                  <c:v>Österrike  -  Italien</c:v>
                </c:pt>
                <c:pt idx="43">
                  <c:v>Irland  -  Kroatien</c:v>
                </c:pt>
                <c:pt idx="44">
                  <c:v>Slovakien  -  Island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  <c:pt idx="51">
                  <c:v>  -  </c:v>
                </c:pt>
              </c:strCache>
            </c:strRef>
          </c:cat>
          <c:val>
            <c:numRef>
              <c:f>Sortering!$C$7:$BB$7</c:f>
              <c:numCache>
                <c:formatCode>General</c:formatCode>
                <c:ptCount val="52"/>
                <c:pt idx="0">
                  <c:v>0.0</c:v>
                </c:pt>
                <c:pt idx="1">
                  <c:v>2.0</c:v>
                </c:pt>
                <c:pt idx="2">
                  <c:v>7.0</c:v>
                </c:pt>
                <c:pt idx="3">
                  <c:v>7.0</c:v>
                </c:pt>
                <c:pt idx="4">
                  <c:v>14.0</c:v>
                </c:pt>
                <c:pt idx="5">
                  <c:v>14.0</c:v>
                </c:pt>
                <c:pt idx="6">
                  <c:v>17.0</c:v>
                </c:pt>
                <c:pt idx="7">
                  <c:v>19.0</c:v>
                </c:pt>
                <c:pt idx="8">
                  <c:v>19.0</c:v>
                </c:pt>
                <c:pt idx="9">
                  <c:v>22.0</c:v>
                </c:pt>
                <c:pt idx="10">
                  <c:v>22.0</c:v>
                </c:pt>
                <c:pt idx="11">
                  <c:v>24.0</c:v>
                </c:pt>
                <c:pt idx="12">
                  <c:v>24.0</c:v>
                </c:pt>
                <c:pt idx="13">
                  <c:v>24.0</c:v>
                </c:pt>
                <c:pt idx="14">
                  <c:v>26.0</c:v>
                </c:pt>
                <c:pt idx="15">
                  <c:v>28.0</c:v>
                </c:pt>
                <c:pt idx="16">
                  <c:v>33.0</c:v>
                </c:pt>
                <c:pt idx="17">
                  <c:v>33.0</c:v>
                </c:pt>
                <c:pt idx="18">
                  <c:v>33.0</c:v>
                </c:pt>
                <c:pt idx="19">
                  <c:v>33.0</c:v>
                </c:pt>
                <c:pt idx="20">
                  <c:v>33.0</c:v>
                </c:pt>
                <c:pt idx="21">
                  <c:v>33.0</c:v>
                </c:pt>
                <c:pt idx="22">
                  <c:v>33.0</c:v>
                </c:pt>
                <c:pt idx="23">
                  <c:v>33.0</c:v>
                </c:pt>
                <c:pt idx="24">
                  <c:v>33.0</c:v>
                </c:pt>
                <c:pt idx="25">
                  <c:v>35.0</c:v>
                </c:pt>
                <c:pt idx="26">
                  <c:v>37.0</c:v>
                </c:pt>
                <c:pt idx="27">
                  <c:v>40.0</c:v>
                </c:pt>
                <c:pt idx="28">
                  <c:v>40.0</c:v>
                </c:pt>
                <c:pt idx="29">
                  <c:v>43.0</c:v>
                </c:pt>
                <c:pt idx="30">
                  <c:v>43.0</c:v>
                </c:pt>
                <c:pt idx="31">
                  <c:v>43.0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Sortering!$B$8</c:f>
              <c:strCache>
                <c:ptCount val="1"/>
                <c:pt idx="0">
                  <c:v>Markus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Sortering!$C$5:$BB$5</c:f>
              <c:strCache>
                <c:ptCount val="52"/>
                <c:pt idx="1">
                  <c:v>Frankrike 2 - 4 Rumänien</c:v>
                </c:pt>
                <c:pt idx="2">
                  <c:v>Albanien 1 - 0 Schweiz</c:v>
                </c:pt>
                <c:pt idx="3">
                  <c:v>Wales 2 - 2 Slovakien</c:v>
                </c:pt>
                <c:pt idx="4">
                  <c:v>England 1 - 0 Ryssland</c:v>
                </c:pt>
                <c:pt idx="5">
                  <c:v>Turkiet 2 - 2 Kroatien</c:v>
                </c:pt>
                <c:pt idx="6">
                  <c:v>Polen 1 - 0 Nordirland</c:v>
                </c:pt>
                <c:pt idx="7">
                  <c:v>Tyskland 1 - 0 Ukraina</c:v>
                </c:pt>
                <c:pt idx="8">
                  <c:v>Spanien 2 - 2 Tjeckien</c:v>
                </c:pt>
                <c:pt idx="9">
                  <c:v>Irland 1 - 0 Sverige</c:v>
                </c:pt>
                <c:pt idx="10">
                  <c:v>Belgien 1 - 1 Italien</c:v>
                </c:pt>
                <c:pt idx="11">
                  <c:v>Österrike 2 - 0 Ungern</c:v>
                </c:pt>
                <c:pt idx="12">
                  <c:v>Portugal 1 - 2 Island</c:v>
                </c:pt>
                <c:pt idx="13">
                  <c:v>Ryssland 1 - 1 Slovakien</c:v>
                </c:pt>
                <c:pt idx="14">
                  <c:v>Rumänien 3 - 2 Schweiz</c:v>
                </c:pt>
                <c:pt idx="15">
                  <c:v>Frankrike 2 - 1 Albanien</c:v>
                </c:pt>
                <c:pt idx="16">
                  <c:v>England 1 - 0 Wales</c:v>
                </c:pt>
                <c:pt idx="17">
                  <c:v>Ukraina 1 - 2 Nordirland</c:v>
                </c:pt>
                <c:pt idx="18">
                  <c:v>Tyskland 1 - 1 Polen</c:v>
                </c:pt>
                <c:pt idx="19">
                  <c:v>Italien 1 - 1 Sverige</c:v>
                </c:pt>
                <c:pt idx="20">
                  <c:v>Tjeckien 2 - 2 Kroatien</c:v>
                </c:pt>
                <c:pt idx="21">
                  <c:v>Spanien 1 - 2 Turkiet</c:v>
                </c:pt>
                <c:pt idx="22">
                  <c:v>Belgien 1 - 2 Irland</c:v>
                </c:pt>
                <c:pt idx="23">
                  <c:v>Island 1 - 1 Ungern</c:v>
                </c:pt>
                <c:pt idx="24">
                  <c:v>Portugal 1 - 2 Österrike</c:v>
                </c:pt>
                <c:pt idx="25">
                  <c:v>Schweiz 2 - 0 Frankrike</c:v>
                </c:pt>
                <c:pt idx="26">
                  <c:v>Rumänien 2 - 1 Albanien</c:v>
                </c:pt>
                <c:pt idx="27">
                  <c:v>Slovakien 1 - 0 England</c:v>
                </c:pt>
                <c:pt idx="28">
                  <c:v>Ryssland 1 - 2 Wales</c:v>
                </c:pt>
                <c:pt idx="29">
                  <c:v>Nordirland 1 - 0 Tyskland</c:v>
                </c:pt>
                <c:pt idx="30">
                  <c:v>Ukraina 2 - 2 Polen</c:v>
                </c:pt>
                <c:pt idx="31">
                  <c:v>Kroatien 2 - 2 Spanien</c:v>
                </c:pt>
                <c:pt idx="32">
                  <c:v>Tjeckien  -  Turkiet</c:v>
                </c:pt>
                <c:pt idx="33">
                  <c:v>Ungern  -  Portugal</c:v>
                </c:pt>
                <c:pt idx="34">
                  <c:v>Island  -  Österrike</c:v>
                </c:pt>
                <c:pt idx="35">
                  <c:v>Sverige  -  Belgien</c:v>
                </c:pt>
                <c:pt idx="36">
                  <c:v>Italien  -  Irland</c:v>
                </c:pt>
                <c:pt idx="37">
                  <c:v>Schweiz  -  Tyskland</c:v>
                </c:pt>
                <c:pt idx="38">
                  <c:v>England  -  </c:v>
                </c:pt>
                <c:pt idx="39">
                  <c:v>Turkiet  -  </c:v>
                </c:pt>
                <c:pt idx="40">
                  <c:v>Rumänien  -  </c:v>
                </c:pt>
                <c:pt idx="41">
                  <c:v>Polen  -  </c:v>
                </c:pt>
                <c:pt idx="42">
                  <c:v>Österrike  -  Italien</c:v>
                </c:pt>
                <c:pt idx="43">
                  <c:v>Irland  -  Kroatien</c:v>
                </c:pt>
                <c:pt idx="44">
                  <c:v>Slovakien  -  Island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  <c:pt idx="51">
                  <c:v>  -  </c:v>
                </c:pt>
              </c:strCache>
            </c:strRef>
          </c:cat>
          <c:val>
            <c:numRef>
              <c:f>Sortering!$C$8:$BB$8</c:f>
              <c:numCache>
                <c:formatCode>General</c:formatCode>
                <c:ptCount val="52"/>
                <c:pt idx="0">
                  <c:v>0.0</c:v>
                </c:pt>
                <c:pt idx="1">
                  <c:v>2.0</c:v>
                </c:pt>
                <c:pt idx="2">
                  <c:v>4.0</c:v>
                </c:pt>
                <c:pt idx="3">
                  <c:v>4.0</c:v>
                </c:pt>
                <c:pt idx="4">
                  <c:v>11.0</c:v>
                </c:pt>
                <c:pt idx="5">
                  <c:v>11.0</c:v>
                </c:pt>
                <c:pt idx="6">
                  <c:v>14.0</c:v>
                </c:pt>
                <c:pt idx="7">
                  <c:v>17.0</c:v>
                </c:pt>
                <c:pt idx="8">
                  <c:v>19.0</c:v>
                </c:pt>
                <c:pt idx="9">
                  <c:v>22.0</c:v>
                </c:pt>
                <c:pt idx="10">
                  <c:v>22.0</c:v>
                </c:pt>
                <c:pt idx="11">
                  <c:v>24.0</c:v>
                </c:pt>
                <c:pt idx="12">
                  <c:v>24.0</c:v>
                </c:pt>
                <c:pt idx="13">
                  <c:v>27.0</c:v>
                </c:pt>
                <c:pt idx="14">
                  <c:v>29.0</c:v>
                </c:pt>
                <c:pt idx="15">
                  <c:v>31.0</c:v>
                </c:pt>
                <c:pt idx="16">
                  <c:v>36.0</c:v>
                </c:pt>
                <c:pt idx="17">
                  <c:v>36.0</c:v>
                </c:pt>
                <c:pt idx="18">
                  <c:v>36.0</c:v>
                </c:pt>
                <c:pt idx="19">
                  <c:v>36.0</c:v>
                </c:pt>
                <c:pt idx="20">
                  <c:v>38.0</c:v>
                </c:pt>
                <c:pt idx="21">
                  <c:v>38.0</c:v>
                </c:pt>
                <c:pt idx="22">
                  <c:v>38.0</c:v>
                </c:pt>
                <c:pt idx="23">
                  <c:v>38.0</c:v>
                </c:pt>
                <c:pt idx="24">
                  <c:v>38.0</c:v>
                </c:pt>
                <c:pt idx="25">
                  <c:v>38.0</c:v>
                </c:pt>
                <c:pt idx="26">
                  <c:v>38.0</c:v>
                </c:pt>
                <c:pt idx="27">
                  <c:v>38.0</c:v>
                </c:pt>
                <c:pt idx="28">
                  <c:v>38.0</c:v>
                </c:pt>
                <c:pt idx="29">
                  <c:v>41.0</c:v>
                </c:pt>
                <c:pt idx="30">
                  <c:v>41.0</c:v>
                </c:pt>
                <c:pt idx="31">
                  <c:v>41.0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Sortering!$B$9</c:f>
              <c:strCache>
                <c:ptCount val="1"/>
                <c:pt idx="0">
                  <c:v>Jocke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Sortering!$C$5:$BB$5</c:f>
              <c:strCache>
                <c:ptCount val="52"/>
                <c:pt idx="1">
                  <c:v>Frankrike 2 - 4 Rumänien</c:v>
                </c:pt>
                <c:pt idx="2">
                  <c:v>Albanien 1 - 0 Schweiz</c:v>
                </c:pt>
                <c:pt idx="3">
                  <c:v>Wales 2 - 2 Slovakien</c:v>
                </c:pt>
                <c:pt idx="4">
                  <c:v>England 1 - 0 Ryssland</c:v>
                </c:pt>
                <c:pt idx="5">
                  <c:v>Turkiet 2 - 2 Kroatien</c:v>
                </c:pt>
                <c:pt idx="6">
                  <c:v>Polen 1 - 0 Nordirland</c:v>
                </c:pt>
                <c:pt idx="7">
                  <c:v>Tyskland 1 - 0 Ukraina</c:v>
                </c:pt>
                <c:pt idx="8">
                  <c:v>Spanien 2 - 2 Tjeckien</c:v>
                </c:pt>
                <c:pt idx="9">
                  <c:v>Irland 1 - 0 Sverige</c:v>
                </c:pt>
                <c:pt idx="10">
                  <c:v>Belgien 1 - 1 Italien</c:v>
                </c:pt>
                <c:pt idx="11">
                  <c:v>Österrike 2 - 0 Ungern</c:v>
                </c:pt>
                <c:pt idx="12">
                  <c:v>Portugal 1 - 2 Island</c:v>
                </c:pt>
                <c:pt idx="13">
                  <c:v>Ryssland 1 - 1 Slovakien</c:v>
                </c:pt>
                <c:pt idx="14">
                  <c:v>Rumänien 3 - 2 Schweiz</c:v>
                </c:pt>
                <c:pt idx="15">
                  <c:v>Frankrike 2 - 1 Albanien</c:v>
                </c:pt>
                <c:pt idx="16">
                  <c:v>England 1 - 0 Wales</c:v>
                </c:pt>
                <c:pt idx="17">
                  <c:v>Ukraina 1 - 2 Nordirland</c:v>
                </c:pt>
                <c:pt idx="18">
                  <c:v>Tyskland 1 - 1 Polen</c:v>
                </c:pt>
                <c:pt idx="19">
                  <c:v>Italien 1 - 1 Sverige</c:v>
                </c:pt>
                <c:pt idx="20">
                  <c:v>Tjeckien 2 - 2 Kroatien</c:v>
                </c:pt>
                <c:pt idx="21">
                  <c:v>Spanien 1 - 2 Turkiet</c:v>
                </c:pt>
                <c:pt idx="22">
                  <c:v>Belgien 1 - 2 Irland</c:v>
                </c:pt>
                <c:pt idx="23">
                  <c:v>Island 1 - 1 Ungern</c:v>
                </c:pt>
                <c:pt idx="24">
                  <c:v>Portugal 1 - 2 Österrike</c:v>
                </c:pt>
                <c:pt idx="25">
                  <c:v>Schweiz 2 - 0 Frankrike</c:v>
                </c:pt>
                <c:pt idx="26">
                  <c:v>Rumänien 2 - 1 Albanien</c:v>
                </c:pt>
                <c:pt idx="27">
                  <c:v>Slovakien 1 - 0 England</c:v>
                </c:pt>
                <c:pt idx="28">
                  <c:v>Ryssland 1 - 2 Wales</c:v>
                </c:pt>
                <c:pt idx="29">
                  <c:v>Nordirland 1 - 0 Tyskland</c:v>
                </c:pt>
                <c:pt idx="30">
                  <c:v>Ukraina 2 - 2 Polen</c:v>
                </c:pt>
                <c:pt idx="31">
                  <c:v>Kroatien 2 - 2 Spanien</c:v>
                </c:pt>
                <c:pt idx="32">
                  <c:v>Tjeckien  -  Turkiet</c:v>
                </c:pt>
                <c:pt idx="33">
                  <c:v>Ungern  -  Portugal</c:v>
                </c:pt>
                <c:pt idx="34">
                  <c:v>Island  -  Österrike</c:v>
                </c:pt>
                <c:pt idx="35">
                  <c:v>Sverige  -  Belgien</c:v>
                </c:pt>
                <c:pt idx="36">
                  <c:v>Italien  -  Irland</c:v>
                </c:pt>
                <c:pt idx="37">
                  <c:v>Schweiz  -  Tyskland</c:v>
                </c:pt>
                <c:pt idx="38">
                  <c:v>England  -  </c:v>
                </c:pt>
                <c:pt idx="39">
                  <c:v>Turkiet  -  </c:v>
                </c:pt>
                <c:pt idx="40">
                  <c:v>Rumänien  -  </c:v>
                </c:pt>
                <c:pt idx="41">
                  <c:v>Polen  -  </c:v>
                </c:pt>
                <c:pt idx="42">
                  <c:v>Österrike  -  Italien</c:v>
                </c:pt>
                <c:pt idx="43">
                  <c:v>Irland  -  Kroatien</c:v>
                </c:pt>
                <c:pt idx="44">
                  <c:v>Slovakien  -  Island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  <c:pt idx="51">
                  <c:v>  -  </c:v>
                </c:pt>
              </c:strCache>
            </c:strRef>
          </c:cat>
          <c:val>
            <c:numRef>
              <c:f>Sortering!$C$9:$BB$9</c:f>
              <c:numCache>
                <c:formatCode>General</c:formatCode>
                <c:ptCount val="52"/>
                <c:pt idx="0">
                  <c:v>0.0</c:v>
                </c:pt>
                <c:pt idx="1">
                  <c:v>4.0</c:v>
                </c:pt>
                <c:pt idx="2">
                  <c:v>10.0</c:v>
                </c:pt>
                <c:pt idx="3">
                  <c:v>12.0</c:v>
                </c:pt>
                <c:pt idx="4">
                  <c:v>12.0</c:v>
                </c:pt>
                <c:pt idx="5">
                  <c:v>12.0</c:v>
                </c:pt>
                <c:pt idx="6">
                  <c:v>12.0</c:v>
                </c:pt>
                <c:pt idx="7">
                  <c:v>12.0</c:v>
                </c:pt>
                <c:pt idx="8">
                  <c:v>12.0</c:v>
                </c:pt>
                <c:pt idx="9">
                  <c:v>12.0</c:v>
                </c:pt>
                <c:pt idx="10">
                  <c:v>12.0</c:v>
                </c:pt>
                <c:pt idx="11">
                  <c:v>12.0</c:v>
                </c:pt>
                <c:pt idx="12">
                  <c:v>14.0</c:v>
                </c:pt>
                <c:pt idx="13">
                  <c:v>14.0</c:v>
                </c:pt>
                <c:pt idx="14">
                  <c:v>14.0</c:v>
                </c:pt>
                <c:pt idx="15">
                  <c:v>14.0</c:v>
                </c:pt>
                <c:pt idx="16">
                  <c:v>14.0</c:v>
                </c:pt>
                <c:pt idx="17">
                  <c:v>17.0</c:v>
                </c:pt>
                <c:pt idx="18">
                  <c:v>17.0</c:v>
                </c:pt>
                <c:pt idx="19">
                  <c:v>17.0</c:v>
                </c:pt>
                <c:pt idx="20">
                  <c:v>17.0</c:v>
                </c:pt>
                <c:pt idx="21">
                  <c:v>20.0</c:v>
                </c:pt>
                <c:pt idx="22">
                  <c:v>23.0</c:v>
                </c:pt>
                <c:pt idx="23">
                  <c:v>23.0</c:v>
                </c:pt>
                <c:pt idx="24">
                  <c:v>26.0</c:v>
                </c:pt>
                <c:pt idx="25">
                  <c:v>26.0</c:v>
                </c:pt>
                <c:pt idx="26">
                  <c:v>26.0</c:v>
                </c:pt>
                <c:pt idx="27">
                  <c:v>26.0</c:v>
                </c:pt>
                <c:pt idx="28">
                  <c:v>29.0</c:v>
                </c:pt>
                <c:pt idx="29">
                  <c:v>29.0</c:v>
                </c:pt>
                <c:pt idx="30">
                  <c:v>29.0</c:v>
                </c:pt>
                <c:pt idx="31">
                  <c:v>29.0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Sortering!$B$10</c:f>
              <c:strCache>
                <c:ptCount val="1"/>
                <c:pt idx="0">
                  <c:v>Tomas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Sortering!$C$5:$BB$5</c:f>
              <c:strCache>
                <c:ptCount val="52"/>
                <c:pt idx="1">
                  <c:v>Frankrike 2 - 4 Rumänien</c:v>
                </c:pt>
                <c:pt idx="2">
                  <c:v>Albanien 1 - 0 Schweiz</c:v>
                </c:pt>
                <c:pt idx="3">
                  <c:v>Wales 2 - 2 Slovakien</c:v>
                </c:pt>
                <c:pt idx="4">
                  <c:v>England 1 - 0 Ryssland</c:v>
                </c:pt>
                <c:pt idx="5">
                  <c:v>Turkiet 2 - 2 Kroatien</c:v>
                </c:pt>
                <c:pt idx="6">
                  <c:v>Polen 1 - 0 Nordirland</c:v>
                </c:pt>
                <c:pt idx="7">
                  <c:v>Tyskland 1 - 0 Ukraina</c:v>
                </c:pt>
                <c:pt idx="8">
                  <c:v>Spanien 2 - 2 Tjeckien</c:v>
                </c:pt>
                <c:pt idx="9">
                  <c:v>Irland 1 - 0 Sverige</c:v>
                </c:pt>
                <c:pt idx="10">
                  <c:v>Belgien 1 - 1 Italien</c:v>
                </c:pt>
                <c:pt idx="11">
                  <c:v>Österrike 2 - 0 Ungern</c:v>
                </c:pt>
                <c:pt idx="12">
                  <c:v>Portugal 1 - 2 Island</c:v>
                </c:pt>
                <c:pt idx="13">
                  <c:v>Ryssland 1 - 1 Slovakien</c:v>
                </c:pt>
                <c:pt idx="14">
                  <c:v>Rumänien 3 - 2 Schweiz</c:v>
                </c:pt>
                <c:pt idx="15">
                  <c:v>Frankrike 2 - 1 Albanien</c:v>
                </c:pt>
                <c:pt idx="16">
                  <c:v>England 1 - 0 Wales</c:v>
                </c:pt>
                <c:pt idx="17">
                  <c:v>Ukraina 1 - 2 Nordirland</c:v>
                </c:pt>
                <c:pt idx="18">
                  <c:v>Tyskland 1 - 1 Polen</c:v>
                </c:pt>
                <c:pt idx="19">
                  <c:v>Italien 1 - 1 Sverige</c:v>
                </c:pt>
                <c:pt idx="20">
                  <c:v>Tjeckien 2 - 2 Kroatien</c:v>
                </c:pt>
                <c:pt idx="21">
                  <c:v>Spanien 1 - 2 Turkiet</c:v>
                </c:pt>
                <c:pt idx="22">
                  <c:v>Belgien 1 - 2 Irland</c:v>
                </c:pt>
                <c:pt idx="23">
                  <c:v>Island 1 - 1 Ungern</c:v>
                </c:pt>
                <c:pt idx="24">
                  <c:v>Portugal 1 - 2 Österrike</c:v>
                </c:pt>
                <c:pt idx="25">
                  <c:v>Schweiz 2 - 0 Frankrike</c:v>
                </c:pt>
                <c:pt idx="26">
                  <c:v>Rumänien 2 - 1 Albanien</c:v>
                </c:pt>
                <c:pt idx="27">
                  <c:v>Slovakien 1 - 0 England</c:v>
                </c:pt>
                <c:pt idx="28">
                  <c:v>Ryssland 1 - 2 Wales</c:v>
                </c:pt>
                <c:pt idx="29">
                  <c:v>Nordirland 1 - 0 Tyskland</c:v>
                </c:pt>
                <c:pt idx="30">
                  <c:v>Ukraina 2 - 2 Polen</c:v>
                </c:pt>
                <c:pt idx="31">
                  <c:v>Kroatien 2 - 2 Spanien</c:v>
                </c:pt>
                <c:pt idx="32">
                  <c:v>Tjeckien  -  Turkiet</c:v>
                </c:pt>
                <c:pt idx="33">
                  <c:v>Ungern  -  Portugal</c:v>
                </c:pt>
                <c:pt idx="34">
                  <c:v>Island  -  Österrike</c:v>
                </c:pt>
                <c:pt idx="35">
                  <c:v>Sverige  -  Belgien</c:v>
                </c:pt>
                <c:pt idx="36">
                  <c:v>Italien  -  Irland</c:v>
                </c:pt>
                <c:pt idx="37">
                  <c:v>Schweiz  -  Tyskland</c:v>
                </c:pt>
                <c:pt idx="38">
                  <c:v>England  -  </c:v>
                </c:pt>
                <c:pt idx="39">
                  <c:v>Turkiet  -  </c:v>
                </c:pt>
                <c:pt idx="40">
                  <c:v>Rumänien  -  </c:v>
                </c:pt>
                <c:pt idx="41">
                  <c:v>Polen  -  </c:v>
                </c:pt>
                <c:pt idx="42">
                  <c:v>Österrike  -  Italien</c:v>
                </c:pt>
                <c:pt idx="43">
                  <c:v>Irland  -  Kroatien</c:v>
                </c:pt>
                <c:pt idx="44">
                  <c:v>Slovakien  -  Island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  <c:pt idx="51">
                  <c:v>  -  </c:v>
                </c:pt>
              </c:strCache>
            </c:strRef>
          </c:cat>
          <c:val>
            <c:numRef>
              <c:f>Sortering!$C$10:$BB$10</c:f>
              <c:numCache>
                <c:formatCode>General</c:formatCode>
                <c:ptCount val="52"/>
                <c:pt idx="0">
                  <c:v>0.0</c:v>
                </c:pt>
                <c:pt idx="1">
                  <c:v>4.0</c:v>
                </c:pt>
                <c:pt idx="2">
                  <c:v>8.0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12.0</c:v>
                </c:pt>
                <c:pt idx="10">
                  <c:v>12.0</c:v>
                </c:pt>
                <c:pt idx="11">
                  <c:v>12.0</c:v>
                </c:pt>
                <c:pt idx="12">
                  <c:v>14.0</c:v>
                </c:pt>
                <c:pt idx="13">
                  <c:v>14.0</c:v>
                </c:pt>
                <c:pt idx="14">
                  <c:v>14.0</c:v>
                </c:pt>
                <c:pt idx="15">
                  <c:v>14.0</c:v>
                </c:pt>
                <c:pt idx="16">
                  <c:v>14.0</c:v>
                </c:pt>
                <c:pt idx="17">
                  <c:v>16.0</c:v>
                </c:pt>
                <c:pt idx="18">
                  <c:v>16.0</c:v>
                </c:pt>
                <c:pt idx="19">
                  <c:v>16.0</c:v>
                </c:pt>
                <c:pt idx="20">
                  <c:v>16.0</c:v>
                </c:pt>
                <c:pt idx="21">
                  <c:v>18.0</c:v>
                </c:pt>
                <c:pt idx="22">
                  <c:v>20.0</c:v>
                </c:pt>
                <c:pt idx="23">
                  <c:v>20.0</c:v>
                </c:pt>
                <c:pt idx="24">
                  <c:v>22.0</c:v>
                </c:pt>
                <c:pt idx="25">
                  <c:v>22.0</c:v>
                </c:pt>
                <c:pt idx="26">
                  <c:v>22.0</c:v>
                </c:pt>
                <c:pt idx="27">
                  <c:v>22.0</c:v>
                </c:pt>
                <c:pt idx="28">
                  <c:v>24.0</c:v>
                </c:pt>
                <c:pt idx="29">
                  <c:v>24.0</c:v>
                </c:pt>
                <c:pt idx="30">
                  <c:v>24.0</c:v>
                </c:pt>
                <c:pt idx="31">
                  <c:v>24.0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Sortering!$B$11</c:f>
              <c:strCache>
                <c:ptCount val="1"/>
                <c:pt idx="0">
                  <c:v>Kalle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Sortering!$C$5:$BB$5</c:f>
              <c:strCache>
                <c:ptCount val="52"/>
                <c:pt idx="1">
                  <c:v>Frankrike 2 - 4 Rumänien</c:v>
                </c:pt>
                <c:pt idx="2">
                  <c:v>Albanien 1 - 0 Schweiz</c:v>
                </c:pt>
                <c:pt idx="3">
                  <c:v>Wales 2 - 2 Slovakien</c:v>
                </c:pt>
                <c:pt idx="4">
                  <c:v>England 1 - 0 Ryssland</c:v>
                </c:pt>
                <c:pt idx="5">
                  <c:v>Turkiet 2 - 2 Kroatien</c:v>
                </c:pt>
                <c:pt idx="6">
                  <c:v>Polen 1 - 0 Nordirland</c:v>
                </c:pt>
                <c:pt idx="7">
                  <c:v>Tyskland 1 - 0 Ukraina</c:v>
                </c:pt>
                <c:pt idx="8">
                  <c:v>Spanien 2 - 2 Tjeckien</c:v>
                </c:pt>
                <c:pt idx="9">
                  <c:v>Irland 1 - 0 Sverige</c:v>
                </c:pt>
                <c:pt idx="10">
                  <c:v>Belgien 1 - 1 Italien</c:v>
                </c:pt>
                <c:pt idx="11">
                  <c:v>Österrike 2 - 0 Ungern</c:v>
                </c:pt>
                <c:pt idx="12">
                  <c:v>Portugal 1 - 2 Island</c:v>
                </c:pt>
                <c:pt idx="13">
                  <c:v>Ryssland 1 - 1 Slovakien</c:v>
                </c:pt>
                <c:pt idx="14">
                  <c:v>Rumänien 3 - 2 Schweiz</c:v>
                </c:pt>
                <c:pt idx="15">
                  <c:v>Frankrike 2 - 1 Albanien</c:v>
                </c:pt>
                <c:pt idx="16">
                  <c:v>England 1 - 0 Wales</c:v>
                </c:pt>
                <c:pt idx="17">
                  <c:v>Ukraina 1 - 2 Nordirland</c:v>
                </c:pt>
                <c:pt idx="18">
                  <c:v>Tyskland 1 - 1 Polen</c:v>
                </c:pt>
                <c:pt idx="19">
                  <c:v>Italien 1 - 1 Sverige</c:v>
                </c:pt>
                <c:pt idx="20">
                  <c:v>Tjeckien 2 - 2 Kroatien</c:v>
                </c:pt>
                <c:pt idx="21">
                  <c:v>Spanien 1 - 2 Turkiet</c:v>
                </c:pt>
                <c:pt idx="22">
                  <c:v>Belgien 1 - 2 Irland</c:v>
                </c:pt>
                <c:pt idx="23">
                  <c:v>Island 1 - 1 Ungern</c:v>
                </c:pt>
                <c:pt idx="24">
                  <c:v>Portugal 1 - 2 Österrike</c:v>
                </c:pt>
                <c:pt idx="25">
                  <c:v>Schweiz 2 - 0 Frankrike</c:v>
                </c:pt>
                <c:pt idx="26">
                  <c:v>Rumänien 2 - 1 Albanien</c:v>
                </c:pt>
                <c:pt idx="27">
                  <c:v>Slovakien 1 - 0 England</c:v>
                </c:pt>
                <c:pt idx="28">
                  <c:v>Ryssland 1 - 2 Wales</c:v>
                </c:pt>
                <c:pt idx="29">
                  <c:v>Nordirland 1 - 0 Tyskland</c:v>
                </c:pt>
                <c:pt idx="30">
                  <c:v>Ukraina 2 - 2 Polen</c:v>
                </c:pt>
                <c:pt idx="31">
                  <c:v>Kroatien 2 - 2 Spanien</c:v>
                </c:pt>
                <c:pt idx="32">
                  <c:v>Tjeckien  -  Turkiet</c:v>
                </c:pt>
                <c:pt idx="33">
                  <c:v>Ungern  -  Portugal</c:v>
                </c:pt>
                <c:pt idx="34">
                  <c:v>Island  -  Österrike</c:v>
                </c:pt>
                <c:pt idx="35">
                  <c:v>Sverige  -  Belgien</c:v>
                </c:pt>
                <c:pt idx="36">
                  <c:v>Italien  -  Irland</c:v>
                </c:pt>
                <c:pt idx="37">
                  <c:v>Schweiz  -  Tyskland</c:v>
                </c:pt>
                <c:pt idx="38">
                  <c:v>England  -  </c:v>
                </c:pt>
                <c:pt idx="39">
                  <c:v>Turkiet  -  </c:v>
                </c:pt>
                <c:pt idx="40">
                  <c:v>Rumänien  -  </c:v>
                </c:pt>
                <c:pt idx="41">
                  <c:v>Polen  -  </c:v>
                </c:pt>
                <c:pt idx="42">
                  <c:v>Österrike  -  Italien</c:v>
                </c:pt>
                <c:pt idx="43">
                  <c:v>Irland  -  Kroatien</c:v>
                </c:pt>
                <c:pt idx="44">
                  <c:v>Slovakien  -  Island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  <c:pt idx="51">
                  <c:v>  -  </c:v>
                </c:pt>
              </c:strCache>
            </c:strRef>
          </c:cat>
          <c:val>
            <c:numRef>
              <c:f>Sortering!$C$11:$BB$11</c:f>
              <c:numCache>
                <c:formatCode>General</c:formatCode>
                <c:ptCount val="52"/>
                <c:pt idx="0">
                  <c:v>0.0</c:v>
                </c:pt>
                <c:pt idx="1">
                  <c:v>4.0</c:v>
                </c:pt>
                <c:pt idx="2">
                  <c:v>8.0</c:v>
                </c:pt>
                <c:pt idx="3">
                  <c:v>8.0</c:v>
                </c:pt>
                <c:pt idx="4">
                  <c:v>8.0</c:v>
                </c:pt>
                <c:pt idx="5">
                  <c:v>8.0</c:v>
                </c:pt>
                <c:pt idx="6">
                  <c:v>8.0</c:v>
                </c:pt>
                <c:pt idx="7">
                  <c:v>8.0</c:v>
                </c:pt>
                <c:pt idx="8">
                  <c:v>8.0</c:v>
                </c:pt>
                <c:pt idx="9">
                  <c:v>8.0</c:v>
                </c:pt>
                <c:pt idx="10">
                  <c:v>8.0</c:v>
                </c:pt>
                <c:pt idx="11">
                  <c:v>8.0</c:v>
                </c:pt>
                <c:pt idx="12">
                  <c:v>11.0</c:v>
                </c:pt>
                <c:pt idx="13">
                  <c:v>11.0</c:v>
                </c:pt>
                <c:pt idx="14">
                  <c:v>11.0</c:v>
                </c:pt>
                <c:pt idx="15">
                  <c:v>11.0</c:v>
                </c:pt>
                <c:pt idx="16">
                  <c:v>11.0</c:v>
                </c:pt>
                <c:pt idx="17">
                  <c:v>14.0</c:v>
                </c:pt>
                <c:pt idx="18">
                  <c:v>14.0</c:v>
                </c:pt>
                <c:pt idx="19">
                  <c:v>14.0</c:v>
                </c:pt>
                <c:pt idx="20">
                  <c:v>14.0</c:v>
                </c:pt>
                <c:pt idx="21">
                  <c:v>14.0</c:v>
                </c:pt>
                <c:pt idx="22">
                  <c:v>14.0</c:v>
                </c:pt>
                <c:pt idx="23">
                  <c:v>14.0</c:v>
                </c:pt>
                <c:pt idx="24">
                  <c:v>14.0</c:v>
                </c:pt>
                <c:pt idx="25">
                  <c:v>16.0</c:v>
                </c:pt>
                <c:pt idx="26">
                  <c:v>19.0</c:v>
                </c:pt>
                <c:pt idx="27">
                  <c:v>21.0</c:v>
                </c:pt>
                <c:pt idx="28">
                  <c:v>21.0</c:v>
                </c:pt>
                <c:pt idx="29">
                  <c:v>23.0</c:v>
                </c:pt>
                <c:pt idx="30">
                  <c:v>23.0</c:v>
                </c:pt>
                <c:pt idx="31">
                  <c:v>23.0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8712624"/>
        <c:axId val="-2058430928"/>
      </c:lineChart>
      <c:catAx>
        <c:axId val="-205871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-2058430928"/>
        <c:crosses val="autoZero"/>
        <c:auto val="1"/>
        <c:lblAlgn val="ctr"/>
        <c:lblOffset val="100"/>
        <c:noMultiLvlLbl val="0"/>
      </c:catAx>
      <c:valAx>
        <c:axId val="-20584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-2058712624"/>
        <c:crossesAt val="1.0"/>
        <c:crossBetween val="midCat"/>
        <c:minorUnit val="1.0"/>
      </c:valAx>
      <c:spPr>
        <a:noFill/>
        <a:ln w="0">
          <a:solidFill>
            <a:schemeClr val="tx1">
              <a:tint val="75000"/>
              <a:shade val="95000"/>
              <a:satMod val="105000"/>
            </a:schemeClr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Sortering!$B$23</c:f>
              <c:strCache>
                <c:ptCount val="1"/>
                <c:pt idx="0">
                  <c:v>Rickard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Sortering!$D$21:$BB$21</c:f>
              <c:strCache>
                <c:ptCount val="51"/>
                <c:pt idx="0">
                  <c:v>Frankrike 2 - 4 Rumänien</c:v>
                </c:pt>
                <c:pt idx="1">
                  <c:v>Albanien 1 - 0 Schweiz</c:v>
                </c:pt>
                <c:pt idx="2">
                  <c:v>Wales 2 - 2 Slovakien</c:v>
                </c:pt>
                <c:pt idx="3">
                  <c:v>England 1 - 0 Ryssland</c:v>
                </c:pt>
                <c:pt idx="4">
                  <c:v>Turkiet 2 - 2 Kroatien</c:v>
                </c:pt>
                <c:pt idx="5">
                  <c:v>Polen 1 - 0 Nordirland</c:v>
                </c:pt>
                <c:pt idx="6">
                  <c:v>Tyskland 1 - 0 Ukraina</c:v>
                </c:pt>
                <c:pt idx="7">
                  <c:v>Spanien 2 - 2 Tjeckien</c:v>
                </c:pt>
                <c:pt idx="8">
                  <c:v>Irland 1 - 0 Sverige</c:v>
                </c:pt>
                <c:pt idx="9">
                  <c:v>Belgien 1 - 1 Italien</c:v>
                </c:pt>
                <c:pt idx="10">
                  <c:v>Österrike 2 - 0 Ungern</c:v>
                </c:pt>
                <c:pt idx="11">
                  <c:v>Portugal 1 - 2 Island</c:v>
                </c:pt>
                <c:pt idx="12">
                  <c:v>Ryssland 1 - 1 Slovakien</c:v>
                </c:pt>
                <c:pt idx="13">
                  <c:v>Rumänien 3 - 2 Schweiz</c:v>
                </c:pt>
                <c:pt idx="14">
                  <c:v>Frankrike 2 - 1 Albanien</c:v>
                </c:pt>
                <c:pt idx="15">
                  <c:v>England 1 - 0 Wales</c:v>
                </c:pt>
                <c:pt idx="16">
                  <c:v>Ukraina 1 - 2 Nordirland</c:v>
                </c:pt>
                <c:pt idx="17">
                  <c:v>Tyskland 1 - 1 Polen</c:v>
                </c:pt>
                <c:pt idx="18">
                  <c:v>Italien 1 - 1 Sverige</c:v>
                </c:pt>
                <c:pt idx="19">
                  <c:v>Tjeckien 2 - 2 Kroatien</c:v>
                </c:pt>
                <c:pt idx="20">
                  <c:v>Spanien 1 - 2 Turkiet</c:v>
                </c:pt>
                <c:pt idx="21">
                  <c:v>Belgien 1 - 2 Irland</c:v>
                </c:pt>
                <c:pt idx="22">
                  <c:v>Island 1 - 1 Ungern</c:v>
                </c:pt>
                <c:pt idx="23">
                  <c:v>Portugal 1 - 2 Österrike</c:v>
                </c:pt>
                <c:pt idx="24">
                  <c:v>Schweiz 2 - 0 Frankrike</c:v>
                </c:pt>
                <c:pt idx="25">
                  <c:v>Rumänien 2 - 1 Albanien</c:v>
                </c:pt>
                <c:pt idx="26">
                  <c:v>Slovakien 1 - 0 England</c:v>
                </c:pt>
                <c:pt idx="27">
                  <c:v>Ryssland 1 - 2 Wales</c:v>
                </c:pt>
                <c:pt idx="28">
                  <c:v>Nordirland 1 - 0 Tyskland</c:v>
                </c:pt>
                <c:pt idx="29">
                  <c:v>Ukraina 2 - 2 Polen</c:v>
                </c:pt>
                <c:pt idx="30">
                  <c:v>Kroatien 2 - 2 Spanien</c:v>
                </c:pt>
                <c:pt idx="31">
                  <c:v>Tjeckien  -  Turkiet</c:v>
                </c:pt>
                <c:pt idx="32">
                  <c:v>Ungern  -  Portugal</c:v>
                </c:pt>
                <c:pt idx="33">
                  <c:v>Island  -  Österrike</c:v>
                </c:pt>
                <c:pt idx="34">
                  <c:v>Sverige  -  Belgien</c:v>
                </c:pt>
                <c:pt idx="35">
                  <c:v>Italien  -  Irland</c:v>
                </c:pt>
                <c:pt idx="36">
                  <c:v>Schweiz  -  Tyskland</c:v>
                </c:pt>
                <c:pt idx="37">
                  <c:v>England  -  </c:v>
                </c:pt>
                <c:pt idx="38">
                  <c:v>Turkiet  -  </c:v>
                </c:pt>
                <c:pt idx="39">
                  <c:v>Rumänien  -  </c:v>
                </c:pt>
                <c:pt idx="40">
                  <c:v>Polen  -  </c:v>
                </c:pt>
                <c:pt idx="41">
                  <c:v>Österrike  -  Italien</c:v>
                </c:pt>
                <c:pt idx="42">
                  <c:v>Irland  -  Kroatien</c:v>
                </c:pt>
                <c:pt idx="43">
                  <c:v>Slovakien  -  Island</c:v>
                </c:pt>
                <c:pt idx="44">
                  <c:v>  -  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</c:strCache>
            </c:strRef>
          </c:cat>
          <c:val>
            <c:numRef>
              <c:f>Sortering!$D$23:$BB$23</c:f>
              <c:numCache>
                <c:formatCode>General</c:formatCode>
                <c:ptCount val="51"/>
                <c:pt idx="0">
                  <c:v>4.0</c:v>
                </c:pt>
                <c:pt idx="1">
                  <c:v>4.0</c:v>
                </c:pt>
                <c:pt idx="2">
                  <c:v>4.0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1.0</c:v>
                </c:pt>
                <c:pt idx="27">
                  <c:v>1.0</c:v>
                </c:pt>
                <c:pt idx="28">
                  <c:v>1.0</c:v>
                </c:pt>
                <c:pt idx="29">
                  <c:v>1.0</c:v>
                </c:pt>
                <c:pt idx="30">
                  <c:v>1.0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Sortering!$B$24</c:f>
              <c:strCache>
                <c:ptCount val="1"/>
                <c:pt idx="0">
                  <c:v>Markus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Sortering!$D$21:$BB$21</c:f>
              <c:strCache>
                <c:ptCount val="51"/>
                <c:pt idx="0">
                  <c:v>Frankrike 2 - 4 Rumänien</c:v>
                </c:pt>
                <c:pt idx="1">
                  <c:v>Albanien 1 - 0 Schweiz</c:v>
                </c:pt>
                <c:pt idx="2">
                  <c:v>Wales 2 - 2 Slovakien</c:v>
                </c:pt>
                <c:pt idx="3">
                  <c:v>England 1 - 0 Ryssland</c:v>
                </c:pt>
                <c:pt idx="4">
                  <c:v>Turkiet 2 - 2 Kroatien</c:v>
                </c:pt>
                <c:pt idx="5">
                  <c:v>Polen 1 - 0 Nordirland</c:v>
                </c:pt>
                <c:pt idx="6">
                  <c:v>Tyskland 1 - 0 Ukraina</c:v>
                </c:pt>
                <c:pt idx="7">
                  <c:v>Spanien 2 - 2 Tjeckien</c:v>
                </c:pt>
                <c:pt idx="8">
                  <c:v>Irland 1 - 0 Sverige</c:v>
                </c:pt>
                <c:pt idx="9">
                  <c:v>Belgien 1 - 1 Italien</c:v>
                </c:pt>
                <c:pt idx="10">
                  <c:v>Österrike 2 - 0 Ungern</c:v>
                </c:pt>
                <c:pt idx="11">
                  <c:v>Portugal 1 - 2 Island</c:v>
                </c:pt>
                <c:pt idx="12">
                  <c:v>Ryssland 1 - 1 Slovakien</c:v>
                </c:pt>
                <c:pt idx="13">
                  <c:v>Rumänien 3 - 2 Schweiz</c:v>
                </c:pt>
                <c:pt idx="14">
                  <c:v>Frankrike 2 - 1 Albanien</c:v>
                </c:pt>
                <c:pt idx="15">
                  <c:v>England 1 - 0 Wales</c:v>
                </c:pt>
                <c:pt idx="16">
                  <c:v>Ukraina 1 - 2 Nordirland</c:v>
                </c:pt>
                <c:pt idx="17">
                  <c:v>Tyskland 1 - 1 Polen</c:v>
                </c:pt>
                <c:pt idx="18">
                  <c:v>Italien 1 - 1 Sverige</c:v>
                </c:pt>
                <c:pt idx="19">
                  <c:v>Tjeckien 2 - 2 Kroatien</c:v>
                </c:pt>
                <c:pt idx="20">
                  <c:v>Spanien 1 - 2 Turkiet</c:v>
                </c:pt>
                <c:pt idx="21">
                  <c:v>Belgien 1 - 2 Irland</c:v>
                </c:pt>
                <c:pt idx="22">
                  <c:v>Island 1 - 1 Ungern</c:v>
                </c:pt>
                <c:pt idx="23">
                  <c:v>Portugal 1 - 2 Österrike</c:v>
                </c:pt>
                <c:pt idx="24">
                  <c:v>Schweiz 2 - 0 Frankrike</c:v>
                </c:pt>
                <c:pt idx="25">
                  <c:v>Rumänien 2 - 1 Albanien</c:v>
                </c:pt>
                <c:pt idx="26">
                  <c:v>Slovakien 1 - 0 England</c:v>
                </c:pt>
                <c:pt idx="27">
                  <c:v>Ryssland 1 - 2 Wales</c:v>
                </c:pt>
                <c:pt idx="28">
                  <c:v>Nordirland 1 - 0 Tyskland</c:v>
                </c:pt>
                <c:pt idx="29">
                  <c:v>Ukraina 2 - 2 Polen</c:v>
                </c:pt>
                <c:pt idx="30">
                  <c:v>Kroatien 2 - 2 Spanien</c:v>
                </c:pt>
                <c:pt idx="31">
                  <c:v>Tjeckien  -  Turkiet</c:v>
                </c:pt>
                <c:pt idx="32">
                  <c:v>Ungern  -  Portugal</c:v>
                </c:pt>
                <c:pt idx="33">
                  <c:v>Island  -  Österrike</c:v>
                </c:pt>
                <c:pt idx="34">
                  <c:v>Sverige  -  Belgien</c:v>
                </c:pt>
                <c:pt idx="35">
                  <c:v>Italien  -  Irland</c:v>
                </c:pt>
                <c:pt idx="36">
                  <c:v>Schweiz  -  Tyskland</c:v>
                </c:pt>
                <c:pt idx="37">
                  <c:v>England  -  </c:v>
                </c:pt>
                <c:pt idx="38">
                  <c:v>Turkiet  -  </c:v>
                </c:pt>
                <c:pt idx="39">
                  <c:v>Rumänien  -  </c:v>
                </c:pt>
                <c:pt idx="40">
                  <c:v>Polen  -  </c:v>
                </c:pt>
                <c:pt idx="41">
                  <c:v>Österrike  -  Italien</c:v>
                </c:pt>
                <c:pt idx="42">
                  <c:v>Irland  -  Kroatien</c:v>
                </c:pt>
                <c:pt idx="43">
                  <c:v>Slovakien  -  Island</c:v>
                </c:pt>
                <c:pt idx="44">
                  <c:v>  -  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</c:strCache>
            </c:strRef>
          </c:cat>
          <c:val>
            <c:numRef>
              <c:f>Sortering!$D$24:$BB$24</c:f>
              <c:numCache>
                <c:formatCode>General</c:formatCode>
                <c:ptCount val="51"/>
                <c:pt idx="0">
                  <c:v>4.0</c:v>
                </c:pt>
                <c:pt idx="1">
                  <c:v>5.0</c:v>
                </c:pt>
                <c:pt idx="2">
                  <c:v>5.0</c:v>
                </c:pt>
                <c:pt idx="3">
                  <c:v>3.0</c:v>
                </c:pt>
                <c:pt idx="4">
                  <c:v>3.0</c:v>
                </c:pt>
                <c:pt idx="5">
                  <c:v>2.0</c:v>
                </c:pt>
                <c:pt idx="6">
                  <c:v>2.0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  <c:pt idx="13">
                  <c:v>1.0</c:v>
                </c:pt>
                <c:pt idx="14">
                  <c:v>1.0</c:v>
                </c:pt>
                <c:pt idx="15">
                  <c:v>1.0</c:v>
                </c:pt>
                <c:pt idx="16">
                  <c:v>1.0</c:v>
                </c:pt>
                <c:pt idx="17">
                  <c:v>1.0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  <c:pt idx="21">
                  <c:v>1.0</c:v>
                </c:pt>
                <c:pt idx="22">
                  <c:v>1.0</c:v>
                </c:pt>
                <c:pt idx="23">
                  <c:v>1.0</c:v>
                </c:pt>
                <c:pt idx="24">
                  <c:v>1.0</c:v>
                </c:pt>
                <c:pt idx="25">
                  <c:v>1.0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Sortering!$B$25</c:f>
              <c:strCache>
                <c:ptCount val="1"/>
                <c:pt idx="0">
                  <c:v>Jocke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Sortering!$D$21:$BB$21</c:f>
              <c:strCache>
                <c:ptCount val="51"/>
                <c:pt idx="0">
                  <c:v>Frankrike 2 - 4 Rumänien</c:v>
                </c:pt>
                <c:pt idx="1">
                  <c:v>Albanien 1 - 0 Schweiz</c:v>
                </c:pt>
                <c:pt idx="2">
                  <c:v>Wales 2 - 2 Slovakien</c:v>
                </c:pt>
                <c:pt idx="3">
                  <c:v>England 1 - 0 Ryssland</c:v>
                </c:pt>
                <c:pt idx="4">
                  <c:v>Turkiet 2 - 2 Kroatien</c:v>
                </c:pt>
                <c:pt idx="5">
                  <c:v>Polen 1 - 0 Nordirland</c:v>
                </c:pt>
                <c:pt idx="6">
                  <c:v>Tyskland 1 - 0 Ukraina</c:v>
                </c:pt>
                <c:pt idx="7">
                  <c:v>Spanien 2 - 2 Tjeckien</c:v>
                </c:pt>
                <c:pt idx="8">
                  <c:v>Irland 1 - 0 Sverige</c:v>
                </c:pt>
                <c:pt idx="9">
                  <c:v>Belgien 1 - 1 Italien</c:v>
                </c:pt>
                <c:pt idx="10">
                  <c:v>Österrike 2 - 0 Ungern</c:v>
                </c:pt>
                <c:pt idx="11">
                  <c:v>Portugal 1 - 2 Island</c:v>
                </c:pt>
                <c:pt idx="12">
                  <c:v>Ryssland 1 - 1 Slovakien</c:v>
                </c:pt>
                <c:pt idx="13">
                  <c:v>Rumänien 3 - 2 Schweiz</c:v>
                </c:pt>
                <c:pt idx="14">
                  <c:v>Frankrike 2 - 1 Albanien</c:v>
                </c:pt>
                <c:pt idx="15">
                  <c:v>England 1 - 0 Wales</c:v>
                </c:pt>
                <c:pt idx="16">
                  <c:v>Ukraina 1 - 2 Nordirland</c:v>
                </c:pt>
                <c:pt idx="17">
                  <c:v>Tyskland 1 - 1 Polen</c:v>
                </c:pt>
                <c:pt idx="18">
                  <c:v>Italien 1 - 1 Sverige</c:v>
                </c:pt>
                <c:pt idx="19">
                  <c:v>Tjeckien 2 - 2 Kroatien</c:v>
                </c:pt>
                <c:pt idx="20">
                  <c:v>Spanien 1 - 2 Turkiet</c:v>
                </c:pt>
                <c:pt idx="21">
                  <c:v>Belgien 1 - 2 Irland</c:v>
                </c:pt>
                <c:pt idx="22">
                  <c:v>Island 1 - 1 Ungern</c:v>
                </c:pt>
                <c:pt idx="23">
                  <c:v>Portugal 1 - 2 Österrike</c:v>
                </c:pt>
                <c:pt idx="24">
                  <c:v>Schweiz 2 - 0 Frankrike</c:v>
                </c:pt>
                <c:pt idx="25">
                  <c:v>Rumänien 2 - 1 Albanien</c:v>
                </c:pt>
                <c:pt idx="26">
                  <c:v>Slovakien 1 - 0 England</c:v>
                </c:pt>
                <c:pt idx="27">
                  <c:v>Ryssland 1 - 2 Wales</c:v>
                </c:pt>
                <c:pt idx="28">
                  <c:v>Nordirland 1 - 0 Tyskland</c:v>
                </c:pt>
                <c:pt idx="29">
                  <c:v>Ukraina 2 - 2 Polen</c:v>
                </c:pt>
                <c:pt idx="30">
                  <c:v>Kroatien 2 - 2 Spanien</c:v>
                </c:pt>
                <c:pt idx="31">
                  <c:v>Tjeckien  -  Turkiet</c:v>
                </c:pt>
                <c:pt idx="32">
                  <c:v>Ungern  -  Portugal</c:v>
                </c:pt>
                <c:pt idx="33">
                  <c:v>Island  -  Österrike</c:v>
                </c:pt>
                <c:pt idx="34">
                  <c:v>Sverige  -  Belgien</c:v>
                </c:pt>
                <c:pt idx="35">
                  <c:v>Italien  -  Irland</c:v>
                </c:pt>
                <c:pt idx="36">
                  <c:v>Schweiz  -  Tyskland</c:v>
                </c:pt>
                <c:pt idx="37">
                  <c:v>England  -  </c:v>
                </c:pt>
                <c:pt idx="38">
                  <c:v>Turkiet  -  </c:v>
                </c:pt>
                <c:pt idx="39">
                  <c:v>Rumänien  -  </c:v>
                </c:pt>
                <c:pt idx="40">
                  <c:v>Polen  -  </c:v>
                </c:pt>
                <c:pt idx="41">
                  <c:v>Österrike  -  Italien</c:v>
                </c:pt>
                <c:pt idx="42">
                  <c:v>Irland  -  Kroatien</c:v>
                </c:pt>
                <c:pt idx="43">
                  <c:v>Slovakien  -  Island</c:v>
                </c:pt>
                <c:pt idx="44">
                  <c:v>  -  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</c:strCache>
            </c:strRef>
          </c:cat>
          <c:val>
            <c:numRef>
              <c:f>Sortering!$D$25:$BB$25</c:f>
              <c:numCache>
                <c:formatCode>General</c:formatCode>
                <c:ptCount val="51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2.0</c:v>
                </c:pt>
                <c:pt idx="4">
                  <c:v>2.0</c:v>
                </c:pt>
                <c:pt idx="5">
                  <c:v>3.0</c:v>
                </c:pt>
                <c:pt idx="6">
                  <c:v>3.0</c:v>
                </c:pt>
                <c:pt idx="7">
                  <c:v>3.0</c:v>
                </c:pt>
                <c:pt idx="8">
                  <c:v>3.0</c:v>
                </c:pt>
                <c:pt idx="9">
                  <c:v>3.0</c:v>
                </c:pt>
                <c:pt idx="10">
                  <c:v>3.0</c:v>
                </c:pt>
                <c:pt idx="11">
                  <c:v>3.0</c:v>
                </c:pt>
                <c:pt idx="12">
                  <c:v>3.0</c:v>
                </c:pt>
                <c:pt idx="13">
                  <c:v>3.0</c:v>
                </c:pt>
                <c:pt idx="14">
                  <c:v>3.0</c:v>
                </c:pt>
                <c:pt idx="15">
                  <c:v>3.0</c:v>
                </c:pt>
                <c:pt idx="16">
                  <c:v>3.0</c:v>
                </c:pt>
                <c:pt idx="17">
                  <c:v>3.0</c:v>
                </c:pt>
                <c:pt idx="18">
                  <c:v>3.0</c:v>
                </c:pt>
                <c:pt idx="19">
                  <c:v>3.0</c:v>
                </c:pt>
                <c:pt idx="20">
                  <c:v>3.0</c:v>
                </c:pt>
                <c:pt idx="21">
                  <c:v>3.0</c:v>
                </c:pt>
                <c:pt idx="22">
                  <c:v>3.0</c:v>
                </c:pt>
                <c:pt idx="23">
                  <c:v>3.0</c:v>
                </c:pt>
                <c:pt idx="24">
                  <c:v>3.0</c:v>
                </c:pt>
                <c:pt idx="25">
                  <c:v>3.0</c:v>
                </c:pt>
                <c:pt idx="26">
                  <c:v>3.0</c:v>
                </c:pt>
                <c:pt idx="27">
                  <c:v>3.0</c:v>
                </c:pt>
                <c:pt idx="28">
                  <c:v>3.0</c:v>
                </c:pt>
                <c:pt idx="29">
                  <c:v>3.0</c:v>
                </c:pt>
                <c:pt idx="30">
                  <c:v>3.0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Sortering!$B$26</c:f>
              <c:strCache>
                <c:ptCount val="1"/>
                <c:pt idx="0">
                  <c:v>Tomas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Sortering!$D$21:$BB$21</c:f>
              <c:strCache>
                <c:ptCount val="51"/>
                <c:pt idx="0">
                  <c:v>Frankrike 2 - 4 Rumänien</c:v>
                </c:pt>
                <c:pt idx="1">
                  <c:v>Albanien 1 - 0 Schweiz</c:v>
                </c:pt>
                <c:pt idx="2">
                  <c:v>Wales 2 - 2 Slovakien</c:v>
                </c:pt>
                <c:pt idx="3">
                  <c:v>England 1 - 0 Ryssland</c:v>
                </c:pt>
                <c:pt idx="4">
                  <c:v>Turkiet 2 - 2 Kroatien</c:v>
                </c:pt>
                <c:pt idx="5">
                  <c:v>Polen 1 - 0 Nordirland</c:v>
                </c:pt>
                <c:pt idx="6">
                  <c:v>Tyskland 1 - 0 Ukraina</c:v>
                </c:pt>
                <c:pt idx="7">
                  <c:v>Spanien 2 - 2 Tjeckien</c:v>
                </c:pt>
                <c:pt idx="8">
                  <c:v>Irland 1 - 0 Sverige</c:v>
                </c:pt>
                <c:pt idx="9">
                  <c:v>Belgien 1 - 1 Italien</c:v>
                </c:pt>
                <c:pt idx="10">
                  <c:v>Österrike 2 - 0 Ungern</c:v>
                </c:pt>
                <c:pt idx="11">
                  <c:v>Portugal 1 - 2 Island</c:v>
                </c:pt>
                <c:pt idx="12">
                  <c:v>Ryssland 1 - 1 Slovakien</c:v>
                </c:pt>
                <c:pt idx="13">
                  <c:v>Rumänien 3 - 2 Schweiz</c:v>
                </c:pt>
                <c:pt idx="14">
                  <c:v>Frankrike 2 - 1 Albanien</c:v>
                </c:pt>
                <c:pt idx="15">
                  <c:v>England 1 - 0 Wales</c:v>
                </c:pt>
                <c:pt idx="16">
                  <c:v>Ukraina 1 - 2 Nordirland</c:v>
                </c:pt>
                <c:pt idx="17">
                  <c:v>Tyskland 1 - 1 Polen</c:v>
                </c:pt>
                <c:pt idx="18">
                  <c:v>Italien 1 - 1 Sverige</c:v>
                </c:pt>
                <c:pt idx="19">
                  <c:v>Tjeckien 2 - 2 Kroatien</c:v>
                </c:pt>
                <c:pt idx="20">
                  <c:v>Spanien 1 - 2 Turkiet</c:v>
                </c:pt>
                <c:pt idx="21">
                  <c:v>Belgien 1 - 2 Irland</c:v>
                </c:pt>
                <c:pt idx="22">
                  <c:v>Island 1 - 1 Ungern</c:v>
                </c:pt>
                <c:pt idx="23">
                  <c:v>Portugal 1 - 2 Österrike</c:v>
                </c:pt>
                <c:pt idx="24">
                  <c:v>Schweiz 2 - 0 Frankrike</c:v>
                </c:pt>
                <c:pt idx="25">
                  <c:v>Rumänien 2 - 1 Albanien</c:v>
                </c:pt>
                <c:pt idx="26">
                  <c:v>Slovakien 1 - 0 England</c:v>
                </c:pt>
                <c:pt idx="27">
                  <c:v>Ryssland 1 - 2 Wales</c:v>
                </c:pt>
                <c:pt idx="28">
                  <c:v>Nordirland 1 - 0 Tyskland</c:v>
                </c:pt>
                <c:pt idx="29">
                  <c:v>Ukraina 2 - 2 Polen</c:v>
                </c:pt>
                <c:pt idx="30">
                  <c:v>Kroatien 2 - 2 Spanien</c:v>
                </c:pt>
                <c:pt idx="31">
                  <c:v>Tjeckien  -  Turkiet</c:v>
                </c:pt>
                <c:pt idx="32">
                  <c:v>Ungern  -  Portugal</c:v>
                </c:pt>
                <c:pt idx="33">
                  <c:v>Island  -  Österrike</c:v>
                </c:pt>
                <c:pt idx="34">
                  <c:v>Sverige  -  Belgien</c:v>
                </c:pt>
                <c:pt idx="35">
                  <c:v>Italien  -  Irland</c:v>
                </c:pt>
                <c:pt idx="36">
                  <c:v>Schweiz  -  Tyskland</c:v>
                </c:pt>
                <c:pt idx="37">
                  <c:v>England  -  </c:v>
                </c:pt>
                <c:pt idx="38">
                  <c:v>Turkiet  -  </c:v>
                </c:pt>
                <c:pt idx="39">
                  <c:v>Rumänien  -  </c:v>
                </c:pt>
                <c:pt idx="40">
                  <c:v>Polen  -  </c:v>
                </c:pt>
                <c:pt idx="41">
                  <c:v>Österrike  -  Italien</c:v>
                </c:pt>
                <c:pt idx="42">
                  <c:v>Irland  -  Kroatien</c:v>
                </c:pt>
                <c:pt idx="43">
                  <c:v>Slovakien  -  Island</c:v>
                </c:pt>
                <c:pt idx="44">
                  <c:v>  -  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</c:strCache>
            </c:strRef>
          </c:cat>
          <c:val>
            <c:numRef>
              <c:f>Sortering!$D$26:$BB$26</c:f>
              <c:numCache>
                <c:formatCode>General</c:formatCode>
                <c:ptCount val="51"/>
                <c:pt idx="0">
                  <c:v>1.0</c:v>
                </c:pt>
                <c:pt idx="1">
                  <c:v>2.0</c:v>
                </c:pt>
                <c:pt idx="2">
                  <c:v>2.0</c:v>
                </c:pt>
                <c:pt idx="3">
                  <c:v>4.0</c:v>
                </c:pt>
                <c:pt idx="4">
                  <c:v>4.0</c:v>
                </c:pt>
                <c:pt idx="5">
                  <c:v>4.0</c:v>
                </c:pt>
                <c:pt idx="6">
                  <c:v>4.0</c:v>
                </c:pt>
                <c:pt idx="7">
                  <c:v>4.0</c:v>
                </c:pt>
                <c:pt idx="8">
                  <c:v>3.0</c:v>
                </c:pt>
                <c:pt idx="9">
                  <c:v>3.0</c:v>
                </c:pt>
                <c:pt idx="10">
                  <c:v>3.0</c:v>
                </c:pt>
                <c:pt idx="11">
                  <c:v>3.0</c:v>
                </c:pt>
                <c:pt idx="12">
                  <c:v>3.0</c:v>
                </c:pt>
                <c:pt idx="13">
                  <c:v>3.0</c:v>
                </c:pt>
                <c:pt idx="14">
                  <c:v>3.0</c:v>
                </c:pt>
                <c:pt idx="15">
                  <c:v>3.0</c:v>
                </c:pt>
                <c:pt idx="16">
                  <c:v>4.0</c:v>
                </c:pt>
                <c:pt idx="17">
                  <c:v>4.0</c:v>
                </c:pt>
                <c:pt idx="18">
                  <c:v>4.0</c:v>
                </c:pt>
                <c:pt idx="19">
                  <c:v>4.0</c:v>
                </c:pt>
                <c:pt idx="20">
                  <c:v>4.0</c:v>
                </c:pt>
                <c:pt idx="21">
                  <c:v>4.0</c:v>
                </c:pt>
                <c:pt idx="22">
                  <c:v>4.0</c:v>
                </c:pt>
                <c:pt idx="23">
                  <c:v>4.0</c:v>
                </c:pt>
                <c:pt idx="24">
                  <c:v>4.0</c:v>
                </c:pt>
                <c:pt idx="25">
                  <c:v>4.0</c:v>
                </c:pt>
                <c:pt idx="26">
                  <c:v>4.0</c:v>
                </c:pt>
                <c:pt idx="27">
                  <c:v>4.0</c:v>
                </c:pt>
                <c:pt idx="28">
                  <c:v>4.0</c:v>
                </c:pt>
                <c:pt idx="29">
                  <c:v>4.0</c:v>
                </c:pt>
                <c:pt idx="30">
                  <c:v>4.0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Sortering!$B$27</c:f>
              <c:strCache>
                <c:ptCount val="1"/>
                <c:pt idx="0">
                  <c:v>Kalle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Sortering!$D$21:$BB$21</c:f>
              <c:strCache>
                <c:ptCount val="51"/>
                <c:pt idx="0">
                  <c:v>Frankrike 2 - 4 Rumänien</c:v>
                </c:pt>
                <c:pt idx="1">
                  <c:v>Albanien 1 - 0 Schweiz</c:v>
                </c:pt>
                <c:pt idx="2">
                  <c:v>Wales 2 - 2 Slovakien</c:v>
                </c:pt>
                <c:pt idx="3">
                  <c:v>England 1 - 0 Ryssland</c:v>
                </c:pt>
                <c:pt idx="4">
                  <c:v>Turkiet 2 - 2 Kroatien</c:v>
                </c:pt>
                <c:pt idx="5">
                  <c:v>Polen 1 - 0 Nordirland</c:v>
                </c:pt>
                <c:pt idx="6">
                  <c:v>Tyskland 1 - 0 Ukraina</c:v>
                </c:pt>
                <c:pt idx="7">
                  <c:v>Spanien 2 - 2 Tjeckien</c:v>
                </c:pt>
                <c:pt idx="8">
                  <c:v>Irland 1 - 0 Sverige</c:v>
                </c:pt>
                <c:pt idx="9">
                  <c:v>Belgien 1 - 1 Italien</c:v>
                </c:pt>
                <c:pt idx="10">
                  <c:v>Österrike 2 - 0 Ungern</c:v>
                </c:pt>
                <c:pt idx="11">
                  <c:v>Portugal 1 - 2 Island</c:v>
                </c:pt>
                <c:pt idx="12">
                  <c:v>Ryssland 1 - 1 Slovakien</c:v>
                </c:pt>
                <c:pt idx="13">
                  <c:v>Rumänien 3 - 2 Schweiz</c:v>
                </c:pt>
                <c:pt idx="14">
                  <c:v>Frankrike 2 - 1 Albanien</c:v>
                </c:pt>
                <c:pt idx="15">
                  <c:v>England 1 - 0 Wales</c:v>
                </c:pt>
                <c:pt idx="16">
                  <c:v>Ukraina 1 - 2 Nordirland</c:v>
                </c:pt>
                <c:pt idx="17">
                  <c:v>Tyskland 1 - 1 Polen</c:v>
                </c:pt>
                <c:pt idx="18">
                  <c:v>Italien 1 - 1 Sverige</c:v>
                </c:pt>
                <c:pt idx="19">
                  <c:v>Tjeckien 2 - 2 Kroatien</c:v>
                </c:pt>
                <c:pt idx="20">
                  <c:v>Spanien 1 - 2 Turkiet</c:v>
                </c:pt>
                <c:pt idx="21">
                  <c:v>Belgien 1 - 2 Irland</c:v>
                </c:pt>
                <c:pt idx="22">
                  <c:v>Island 1 - 1 Ungern</c:v>
                </c:pt>
                <c:pt idx="23">
                  <c:v>Portugal 1 - 2 Österrike</c:v>
                </c:pt>
                <c:pt idx="24">
                  <c:v>Schweiz 2 - 0 Frankrike</c:v>
                </c:pt>
                <c:pt idx="25">
                  <c:v>Rumänien 2 - 1 Albanien</c:v>
                </c:pt>
                <c:pt idx="26">
                  <c:v>Slovakien 1 - 0 England</c:v>
                </c:pt>
                <c:pt idx="27">
                  <c:v>Ryssland 1 - 2 Wales</c:v>
                </c:pt>
                <c:pt idx="28">
                  <c:v>Nordirland 1 - 0 Tyskland</c:v>
                </c:pt>
                <c:pt idx="29">
                  <c:v>Ukraina 2 - 2 Polen</c:v>
                </c:pt>
                <c:pt idx="30">
                  <c:v>Kroatien 2 - 2 Spanien</c:v>
                </c:pt>
                <c:pt idx="31">
                  <c:v>Tjeckien  -  Turkiet</c:v>
                </c:pt>
                <c:pt idx="32">
                  <c:v>Ungern  -  Portugal</c:v>
                </c:pt>
                <c:pt idx="33">
                  <c:v>Island  -  Österrike</c:v>
                </c:pt>
                <c:pt idx="34">
                  <c:v>Sverige  -  Belgien</c:v>
                </c:pt>
                <c:pt idx="35">
                  <c:v>Italien  -  Irland</c:v>
                </c:pt>
                <c:pt idx="36">
                  <c:v>Schweiz  -  Tyskland</c:v>
                </c:pt>
                <c:pt idx="37">
                  <c:v>England  -  </c:v>
                </c:pt>
                <c:pt idx="38">
                  <c:v>Turkiet  -  </c:v>
                </c:pt>
                <c:pt idx="39">
                  <c:v>Rumänien  -  </c:v>
                </c:pt>
                <c:pt idx="40">
                  <c:v>Polen  -  </c:v>
                </c:pt>
                <c:pt idx="41">
                  <c:v>Österrike  -  Italien</c:v>
                </c:pt>
                <c:pt idx="42">
                  <c:v>Irland  -  Kroatien</c:v>
                </c:pt>
                <c:pt idx="43">
                  <c:v>Slovakien  -  Island</c:v>
                </c:pt>
                <c:pt idx="44">
                  <c:v>  -  </c:v>
                </c:pt>
                <c:pt idx="45">
                  <c:v>  -  </c:v>
                </c:pt>
                <c:pt idx="46">
                  <c:v>  -  </c:v>
                </c:pt>
                <c:pt idx="47">
                  <c:v>  -  </c:v>
                </c:pt>
                <c:pt idx="48">
                  <c:v>  -  </c:v>
                </c:pt>
                <c:pt idx="49">
                  <c:v>  -  </c:v>
                </c:pt>
                <c:pt idx="50">
                  <c:v>  -  </c:v>
                </c:pt>
              </c:strCache>
            </c:strRef>
          </c:cat>
          <c:val>
            <c:numRef>
              <c:f>Sortering!$D$27:$BB$27</c:f>
              <c:numCache>
                <c:formatCode>General</c:formatCode>
                <c:ptCount val="51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5.0</c:v>
                </c:pt>
                <c:pt idx="4">
                  <c:v>5.0</c:v>
                </c:pt>
                <c:pt idx="5">
                  <c:v>5.0</c:v>
                </c:pt>
                <c:pt idx="6">
                  <c:v>5.0</c:v>
                </c:pt>
                <c:pt idx="7">
                  <c:v>5.0</c:v>
                </c:pt>
                <c:pt idx="8">
                  <c:v>5.0</c:v>
                </c:pt>
                <c:pt idx="9">
                  <c:v>5.0</c:v>
                </c:pt>
                <c:pt idx="10">
                  <c:v>5.0</c:v>
                </c:pt>
                <c:pt idx="11">
                  <c:v>5.0</c:v>
                </c:pt>
                <c:pt idx="12">
                  <c:v>5.0</c:v>
                </c:pt>
                <c:pt idx="13">
                  <c:v>5.0</c:v>
                </c:pt>
                <c:pt idx="14">
                  <c:v>5.0</c:v>
                </c:pt>
                <c:pt idx="15">
                  <c:v>5.0</c:v>
                </c:pt>
                <c:pt idx="16">
                  <c:v>5.0</c:v>
                </c:pt>
                <c:pt idx="17">
                  <c:v>5.0</c:v>
                </c:pt>
                <c:pt idx="18">
                  <c:v>5.0</c:v>
                </c:pt>
                <c:pt idx="19">
                  <c:v>5.0</c:v>
                </c:pt>
                <c:pt idx="20">
                  <c:v>5.0</c:v>
                </c:pt>
                <c:pt idx="21">
                  <c:v>5.0</c:v>
                </c:pt>
                <c:pt idx="22">
                  <c:v>5.0</c:v>
                </c:pt>
                <c:pt idx="23">
                  <c:v>5.0</c:v>
                </c:pt>
                <c:pt idx="24">
                  <c:v>5.0</c:v>
                </c:pt>
                <c:pt idx="25">
                  <c:v>5.0</c:v>
                </c:pt>
                <c:pt idx="26">
                  <c:v>5.0</c:v>
                </c:pt>
                <c:pt idx="27">
                  <c:v>5.0</c:v>
                </c:pt>
                <c:pt idx="28">
                  <c:v>5.0</c:v>
                </c:pt>
                <c:pt idx="29">
                  <c:v>5.0</c:v>
                </c:pt>
                <c:pt idx="30">
                  <c:v>5.0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2825328"/>
        <c:axId val="-2064393664"/>
      </c:lineChart>
      <c:catAx>
        <c:axId val="-214282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-2064393664"/>
        <c:crosses val="max"/>
        <c:auto val="1"/>
        <c:lblAlgn val="ctr"/>
        <c:lblOffset val="100"/>
        <c:noMultiLvlLbl val="0"/>
      </c:catAx>
      <c:valAx>
        <c:axId val="-2064393664"/>
        <c:scaling>
          <c:orientation val="maxMin"/>
          <c:max val="5.0"/>
          <c:min val="1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-2142825328"/>
        <c:crosses val="autoZero"/>
        <c:crossBetween val="midCat"/>
        <c:majorUnit val="1.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1"/>
  <sheetViews>
    <sheetView zoomScale="119" workbookViewId="0" zoomToFit="1"/>
  </sheetViews>
  <pageMargins left="0.7" right="0.7" top="0.75" bottom="0.75" header="0.3" footer="0.3"/>
  <pageSetup paperSize="9" orientation="landscape" horizontalDpi="0" verticalDpi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2"/>
  <sheetViews>
    <sheetView zoomScale="110" workbookViewId="0"/>
  </sheetViews>
  <pageMargins left="0.7" right="0.7" top="0.75" bottom="0.75" header="0.3" footer="0.3"/>
  <pageSetup paperSize="9" orientation="landscape" horizontalDpi="0" verticalDpi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698500</xdr:colOff>
          <xdr:row>3</xdr:row>
          <xdr:rowOff>127000</xdr:rowOff>
        </xdr:from>
        <xdr:to>
          <xdr:col>9</xdr:col>
          <xdr:colOff>241300</xdr:colOff>
          <xdr:row>6</xdr:row>
          <xdr:rowOff>12700</xdr:rowOff>
        </xdr:to>
        <xdr:sp macro="" textlink="">
          <xdr:nvSpPr>
            <xdr:cNvPr id="3073" name="Lägg till nam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Nytt namn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218" cy="6061849"/>
    <xdr:graphicFrame macro="">
      <xdr:nvGraphicFramePr>
        <xdr:cNvPr id="2" name="Diagra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7182" cy="6084455"/>
    <xdr:graphicFrame macro="">
      <xdr:nvGraphicFramePr>
        <xdr:cNvPr id="2" name="Diagra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13" name="Tabell113" displayName="Tabell113" ref="B6:T10" totalsRowShown="0" headerRowDxfId="349" dataDxfId="348" tableBorderDxfId="347">
  <autoFilter ref="B6:T10"/>
  <sortState ref="B7:T10">
    <sortCondition ref="B6:B10"/>
  </sortState>
  <tableColumns count="19">
    <tableColumn id="1" name="Pl" dataDxfId="346">
      <calculatedColumnFormula>SUM(D7:G7)</calculatedColumnFormula>
    </tableColumn>
    <tableColumn id="2" name="Lag" dataDxfId="345"/>
    <tableColumn id="3" name="R1" dataDxfId="344">
      <calculatedColumnFormula>RANK(H7,$H$7:$H$10)</calculatedColumnFormula>
    </tableColumn>
    <tableColumn id="4" name="R2" dataDxfId="343">
      <calculatedColumnFormula>SUMPRODUCT(($D$7:$D$10=$D7)*($T$7:$T$10&gt;T7))</calculatedColumnFormula>
    </tableColumn>
    <tableColumn id="5" name="R3" dataDxfId="342">
      <calculatedColumnFormula>SUMPRODUCT(($D$7:$D$10=$D7)*($E$7:$E$10=$E7)*($R$7:$R$10&gt;R7))</calculatedColumnFormula>
    </tableColumn>
    <tableColumn id="6" name="IG" dataDxfId="341"/>
    <tableColumn id="7" name="P">
      <calculatedColumnFormula>I7*3+K7</calculatedColumnFormula>
    </tableColumn>
    <tableColumn id="8" name="V" dataDxfId="340">
      <calculatedColumnFormula>L7+O7</calculatedColumnFormula>
    </tableColumn>
    <tableColumn id="9" name="F" dataDxfId="339">
      <calculatedColumnFormula>M7+P7</calculatedColumnFormula>
    </tableColumn>
    <tableColumn id="10" name="O" dataDxfId="338">
      <calculatedColumnFormula>N7+Q7</calculatedColumnFormula>
    </tableColumn>
    <tableColumn id="11" name="HW" dataDxfId="337">
      <calculatedColumnFormula>SUMPRODUCT((Resultat!$E$13:$E$48=C7)*(Resultat!$H$13:$H$48&gt;Resultat!$J$13:$J$48)*(Resultat!$H$13:$H$48&lt;&gt;""))</calculatedColumnFormula>
    </tableColumn>
    <tableColumn id="12" name="HL" dataDxfId="336">
      <calculatedColumnFormula>SUMPRODUCT((Resultat!$E$13:$E$48=C7)*(Resultat!$H$13:$H$48&lt;Resultat!$J$13:$J$48)*(Resultat!$H$13:$H$48&lt;&gt;""))</calculatedColumnFormula>
    </tableColumn>
    <tableColumn id="13" name="HO" dataDxfId="335">
      <calculatedColumnFormula>SUMPRODUCT((Resultat!$E$13:$E$48=C7)*(Resultat!$H$13:$H$48=Resultat!$J$13:$J$48)*(Resultat!$H$13:$H$48&lt;&gt;""))</calculatedColumnFormula>
    </tableColumn>
    <tableColumn id="14" name="AW" dataDxfId="334">
      <calculatedColumnFormula>SUMPRODUCT((Resultat!$G$13:$G$48=C7)*(Resultat!$H$13:$H$48&lt;Resultat!$J$13:$J$48)*(Resultat!$H$13:$H$48&lt;&gt;""))</calculatedColumnFormula>
    </tableColumn>
    <tableColumn id="15" name="AL" dataDxfId="333">
      <calculatedColumnFormula>SUMPRODUCT((Resultat!$G$13:$G$48=C7)*(Resultat!$H$13:$H$48&gt;Resultat!$J$13:$J$48)*(Resultat!$H$13:$H$48&lt;&gt;""))</calculatedColumnFormula>
    </tableColumn>
    <tableColumn id="16" name="AO" dataDxfId="332">
      <calculatedColumnFormula>SUMPRODUCT((Resultat!$G$13:$G$48=C7)*(Resultat!$H$13:$H$48=Resultat!$J$13:$J$48)*(Resultat!$H$13:$H$48&lt;&gt;""))</calculatedColumnFormula>
    </tableColumn>
    <tableColumn id="17" name="GM" dataDxfId="331">
      <calculatedColumnFormula>SUMPRODUCT((Resultat!$E$13:$E$48=C7)*(Resultat!$H$13:$H$48))+SUMPRODUCT((Resultat!$G$13:$G$48=C7)*(Resultat!$J$13:$J$48))</calculatedColumnFormula>
    </tableColumn>
    <tableColumn id="18" name="IM" dataDxfId="330">
      <calculatedColumnFormula>SUMPRODUCT((Resultat!$E$13:$E$48=C7)*(Resultat!$J$13:$J$48))+SUMPRODUCT((Resultat!$G$13:$G$48=C7)*(Resultat!$H$13:$H$48))</calculatedColumnFormula>
    </tableColumn>
    <tableColumn id="19" name="MS" dataDxfId="329">
      <calculatedColumnFormula>R7-S7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4" name="Tabell114" displayName="Tabell114" ref="B15:T19" totalsRowShown="0" headerRowDxfId="328" dataDxfId="327" tableBorderDxfId="326">
  <autoFilter ref="B15:T19"/>
  <sortState ref="B16:T19">
    <sortCondition ref="B15:B19"/>
  </sortState>
  <tableColumns count="19">
    <tableColumn id="1" name="Pl" dataDxfId="325">
      <calculatedColumnFormula>SUM(D16:G16)</calculatedColumnFormula>
    </tableColumn>
    <tableColumn id="2" name="Lag" dataDxfId="324"/>
    <tableColumn id="3" name="R1" dataDxfId="323">
      <calculatedColumnFormula>RANK(H16,$H$16:$H$19)</calculatedColumnFormula>
    </tableColumn>
    <tableColumn id="4" name="R2" dataDxfId="322">
      <calculatedColumnFormula>SUMPRODUCT(($D$16:$D$19=$D16)*($T$16:$T$19&gt;T16))</calculatedColumnFormula>
    </tableColumn>
    <tableColumn id="5" name="R3" dataDxfId="321">
      <calculatedColumnFormula>SUMPRODUCT(($D$16:$D$19=$D16)*($E$16:$E$19=$E16)*($R$16:$R$19&gt;R16))</calculatedColumnFormula>
    </tableColumn>
    <tableColumn id="6" name="IG" dataDxfId="320"/>
    <tableColumn id="7" name="P">
      <calculatedColumnFormula>I16*3+K16</calculatedColumnFormula>
    </tableColumn>
    <tableColumn id="8" name="V" dataDxfId="319">
      <calculatedColumnFormula>L16+O16</calculatedColumnFormula>
    </tableColumn>
    <tableColumn id="9" name="F" dataDxfId="318">
      <calculatedColumnFormula>M16+P16</calculatedColumnFormula>
    </tableColumn>
    <tableColumn id="10" name="O" dataDxfId="317">
      <calculatedColumnFormula>N16+Q16</calculatedColumnFormula>
    </tableColumn>
    <tableColumn id="11" name="HW" dataDxfId="316">
      <calculatedColumnFormula>SUMPRODUCT((Resultat!$E$13:$E$48=C16)*(Resultat!$H$13:$H$48&gt;Resultat!$J$13:$J$48)*(Resultat!$H$13:$H$48&lt;&gt;""))</calculatedColumnFormula>
    </tableColumn>
    <tableColumn id="12" name="HL" dataDxfId="315">
      <calculatedColumnFormula>SUMPRODUCT((Resultat!$E$13:$E$48=C16)*(Resultat!$H$13:$H$48&lt;Resultat!$J$13:$J$48)*(Resultat!$H$13:$H$48&lt;&gt;""))</calculatedColumnFormula>
    </tableColumn>
    <tableColumn id="13" name="HO" dataDxfId="314">
      <calculatedColumnFormula>SUMPRODUCT((Resultat!$E$13:$E$48=C16)*(Resultat!$H$13:$H$48=Resultat!$J$13:$J$48)*(Resultat!$H$13:$H$48&lt;&gt;""))</calculatedColumnFormula>
    </tableColumn>
    <tableColumn id="14" name="AW" dataDxfId="313">
      <calculatedColumnFormula>SUMPRODUCT((Resultat!$G$13:$G$48=C16)*(Resultat!$H$13:$H$48&lt;Resultat!$J$13:$J$48)*(Resultat!$H$13:$H$48&lt;&gt;""))</calculatedColumnFormula>
    </tableColumn>
    <tableColumn id="15" name="AL" dataDxfId="312">
      <calculatedColumnFormula>SUMPRODUCT((Resultat!$G$13:$G$48=C16)*(Resultat!$H$13:$H$48&gt;Resultat!$J$13:$J$48)*(Resultat!$H$13:$H$48&lt;&gt;""))</calculatedColumnFormula>
    </tableColumn>
    <tableColumn id="16" name="AO" dataDxfId="311">
      <calculatedColumnFormula>SUMPRODUCT((Resultat!$G$13:$G$48=C16)*(Resultat!$H$13:$H$48=Resultat!$J$13:$J$48)*(Resultat!$H$13:$H$48&lt;&gt;""))</calculatedColumnFormula>
    </tableColumn>
    <tableColumn id="17" name="GM" dataDxfId="310">
      <calculatedColumnFormula>SUMPRODUCT((Resultat!$E$13:$E$48=C16)*(Resultat!$H$13:$H$48))+SUMPRODUCT((Resultat!$G$13:$G$48=C16)*(Resultat!$J$13:$J$48))</calculatedColumnFormula>
    </tableColumn>
    <tableColumn id="18" name="IM" dataDxfId="309">
      <calculatedColumnFormula>SUMPRODUCT((Resultat!$E$13:$E$48=C16)*(Resultat!$J$13:$J$48))+SUMPRODUCT((Resultat!$G$13:$G$48=C16)*(Resultat!$H$13:$H$48))</calculatedColumnFormula>
    </tableColumn>
    <tableColumn id="19" name="MS" dataDxfId="308">
      <calculatedColumnFormula>R16-S16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5" name="Tabell115" displayName="Tabell115" ref="B24:T28" totalsRowShown="0" headerRowDxfId="307" dataDxfId="306" tableBorderDxfId="305">
  <autoFilter ref="B24:T28"/>
  <sortState ref="B25:T28">
    <sortCondition ref="B24:B28"/>
  </sortState>
  <tableColumns count="19">
    <tableColumn id="1" name="Pl" dataDxfId="304">
      <calculatedColumnFormula>SUM(D25:G25)</calculatedColumnFormula>
    </tableColumn>
    <tableColumn id="2" name="Lag" dataDxfId="303"/>
    <tableColumn id="3" name="R1" dataDxfId="302">
      <calculatedColumnFormula>RANK(H25,$H$25:$H$28)</calculatedColumnFormula>
    </tableColumn>
    <tableColumn id="4" name="R2" dataDxfId="301">
      <calculatedColumnFormula>SUMPRODUCT(($D$25:$D$28=$D25)*($T$25:$T$28&gt;T25))</calculatedColumnFormula>
    </tableColumn>
    <tableColumn id="5" name="R3" dataDxfId="300">
      <calculatedColumnFormula>SUMPRODUCT(($D$25:$D$28=$D25)*($E$25:$E$28=$E25)*($R$25:$R$28&gt;R25))</calculatedColumnFormula>
    </tableColumn>
    <tableColumn id="6" name="IG" dataDxfId="299"/>
    <tableColumn id="7" name="P">
      <calculatedColumnFormula>I25*3+K25</calculatedColumnFormula>
    </tableColumn>
    <tableColumn id="8" name="V" dataDxfId="298">
      <calculatedColumnFormula>L25+O25</calculatedColumnFormula>
    </tableColumn>
    <tableColumn id="9" name="F" dataDxfId="297">
      <calculatedColumnFormula>M25+P25</calculatedColumnFormula>
    </tableColumn>
    <tableColumn id="10" name="O" dataDxfId="296">
      <calculatedColumnFormula>N25+Q25</calculatedColumnFormula>
    </tableColumn>
    <tableColumn id="11" name="HW" dataDxfId="295">
      <calculatedColumnFormula>SUMPRODUCT((Resultat!$E$13:$E$48=C25)*(Resultat!$H$13:$H$48&gt;Resultat!$J$13:$J$48)*(Resultat!$H$13:$H$48&lt;&gt;""))</calculatedColumnFormula>
    </tableColumn>
    <tableColumn id="12" name="HL" dataDxfId="294">
      <calculatedColumnFormula>SUMPRODUCT((Resultat!$E$13:$E$48=C25)*(Resultat!$H$13:$H$48&lt;Resultat!$J$13:$J$48)*(Resultat!$H$13:$H$48&lt;&gt;""))</calculatedColumnFormula>
    </tableColumn>
    <tableColumn id="13" name="HO" dataDxfId="293">
      <calculatedColumnFormula>SUMPRODUCT((Resultat!$E$13:$E$48=C25)*(Resultat!$H$13:$H$48=Resultat!$J$13:$J$48)*(Resultat!$H$13:$H$48&lt;&gt;""))</calculatedColumnFormula>
    </tableColumn>
    <tableColumn id="14" name="AW" dataDxfId="292">
      <calculatedColumnFormula>SUMPRODUCT((Resultat!$G$13:$G$48=C25)*(Resultat!$H$13:$H$48&lt;Resultat!$J$13:$J$48)*(Resultat!$H$13:$H$48&lt;&gt;""))</calculatedColumnFormula>
    </tableColumn>
    <tableColumn id="15" name="AL" dataDxfId="291">
      <calculatedColumnFormula>SUMPRODUCT((Resultat!$G$13:$G$48=C25)*(Resultat!$H$13:$H$48&gt;Resultat!$J$13:$J$48)*(Resultat!$H$13:$H$48&lt;&gt;""))</calculatedColumnFormula>
    </tableColumn>
    <tableColumn id="16" name="AO" dataDxfId="290">
      <calculatedColumnFormula>SUMPRODUCT((Resultat!$G$13:$G$48=C25)*(Resultat!$H$13:$H$48=Resultat!$J$13:$J$48)*(Resultat!$H$13:$H$48&lt;&gt;""))</calculatedColumnFormula>
    </tableColumn>
    <tableColumn id="17" name="GM" dataDxfId="289">
      <calculatedColumnFormula>SUMPRODUCT((Resultat!$E$13:$E$48=C25)*(Resultat!$H$13:$H$48))+SUMPRODUCT((Resultat!$G$13:$G$48=C25)*(Resultat!$J$13:$J$48))</calculatedColumnFormula>
    </tableColumn>
    <tableColumn id="18" name="IM" dataDxfId="288">
      <calculatedColumnFormula>SUMPRODUCT((Resultat!$E$13:$E$48=C25)*(Resultat!$J$13:$J$48))+SUMPRODUCT((Resultat!$G$13:$G$48=C25)*(Resultat!$H$13:$H$48))</calculatedColumnFormula>
    </tableColumn>
    <tableColumn id="19" name="MS" dataDxfId="287">
      <calculatedColumnFormula>R25-S25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6" name="Tabell116" displayName="Tabell116" ref="B33:T37" totalsRowShown="0" headerRowDxfId="286" dataDxfId="285" tableBorderDxfId="284">
  <autoFilter ref="B33:T37"/>
  <sortState ref="B34:T37">
    <sortCondition ref="B33:B37"/>
  </sortState>
  <tableColumns count="19">
    <tableColumn id="1" name="Pl" dataDxfId="283">
      <calculatedColumnFormula>SUM(D34:G34)</calculatedColumnFormula>
    </tableColumn>
    <tableColumn id="2" name="Lag" dataDxfId="282"/>
    <tableColumn id="3" name="R1" dataDxfId="281">
      <calculatedColumnFormula>RANK(H34,$H$34:$H$37)</calculatedColumnFormula>
    </tableColumn>
    <tableColumn id="4" name="R2" dataDxfId="280">
      <calculatedColumnFormula>SUMPRODUCT(($D$34:$D$37=$D34)*($T$34:$T$37&gt;T34))</calculatedColumnFormula>
    </tableColumn>
    <tableColumn id="5" name="R3" dataDxfId="279">
      <calculatedColumnFormula>SUMPRODUCT(($D$34:$D$37=$D34)*($E$34:$E$37=$E34)*($R$34:$R$37&gt;R34))</calculatedColumnFormula>
    </tableColumn>
    <tableColumn id="6" name="IG" dataDxfId="278"/>
    <tableColumn id="7" name="P">
      <calculatedColumnFormula>I34*3+K34</calculatedColumnFormula>
    </tableColumn>
    <tableColumn id="8" name="V" dataDxfId="277">
      <calculatedColumnFormula>L34+O34</calculatedColumnFormula>
    </tableColumn>
    <tableColumn id="9" name="F" dataDxfId="276">
      <calculatedColumnFormula>M34+P34</calculatedColumnFormula>
    </tableColumn>
    <tableColumn id="10" name="O" dataDxfId="275">
      <calculatedColumnFormula>N34+Q34</calculatedColumnFormula>
    </tableColumn>
    <tableColumn id="11" name="HW" dataDxfId="274">
      <calculatedColumnFormula>SUMPRODUCT((Resultat!$E$13:$E$48=C34)*(Resultat!$H$13:$H$48&gt;Resultat!$J$13:$J$48)*(Resultat!$H$13:$H$48&lt;&gt;""))</calculatedColumnFormula>
    </tableColumn>
    <tableColumn id="12" name="HL" dataDxfId="273">
      <calculatedColumnFormula>SUMPRODUCT((Resultat!$E$13:$E$48=C34)*(Resultat!$H$13:$H$48&lt;Resultat!$J$13:$J$48)*(Resultat!$H$13:$H$48&lt;&gt;""))</calculatedColumnFormula>
    </tableColumn>
    <tableColumn id="13" name="HO" dataDxfId="272">
      <calculatedColumnFormula>SUMPRODUCT((Resultat!$E$13:$E$48=C34)*(Resultat!$H$13:$H$48=Resultat!$J$13:$J$48)*(Resultat!$H$13:$H$48&lt;&gt;""))</calculatedColumnFormula>
    </tableColumn>
    <tableColumn id="14" name="AW" dataDxfId="271">
      <calculatedColumnFormula>SUMPRODUCT((Resultat!$G$13:$G$48=C34)*(Resultat!$H$13:$H$48&lt;Resultat!$J$13:$J$48)*(Resultat!$H$13:$H$48&lt;&gt;""))</calculatedColumnFormula>
    </tableColumn>
    <tableColumn id="15" name="AL" dataDxfId="270">
      <calculatedColumnFormula>SUMPRODUCT((Resultat!$G$13:$G$48=C34)*(Resultat!$H$13:$H$48&gt;Resultat!$J$13:$J$48)*(Resultat!$H$13:$H$48&lt;&gt;""))</calculatedColumnFormula>
    </tableColumn>
    <tableColumn id="16" name="AO" dataDxfId="269">
      <calculatedColumnFormula>SUMPRODUCT((Resultat!$G$13:$G$48=C34)*(Resultat!$H$13:$H$48=Resultat!$J$13:$J$48)*(Resultat!$H$13:$H$48&lt;&gt;""))</calculatedColumnFormula>
    </tableColumn>
    <tableColumn id="17" name="GM" dataDxfId="268">
      <calculatedColumnFormula>SUMPRODUCT((Resultat!$E$13:$E$48=C34)*(Resultat!$H$13:$H$48))+SUMPRODUCT((Resultat!$G$13:$G$48=C34)*(Resultat!$J$13:$J$48))</calculatedColumnFormula>
    </tableColumn>
    <tableColumn id="18" name="IM" dataDxfId="267">
      <calculatedColumnFormula>SUMPRODUCT((Resultat!$E$13:$E$48=C34)*(Resultat!$J$13:$J$48))+SUMPRODUCT((Resultat!$G$13:$G$48=C34)*(Resultat!$H$13:$H$48))</calculatedColumnFormula>
    </tableColumn>
    <tableColumn id="19" name="MS" dataDxfId="266">
      <calculatedColumnFormula>R34-S34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17" name="Tabell117" displayName="Tabell117" ref="B42:T46" totalsRowShown="0" headerRowDxfId="265" dataDxfId="264" tableBorderDxfId="263">
  <autoFilter ref="B42:T46"/>
  <sortState ref="B43:T46">
    <sortCondition ref="B42:B46"/>
  </sortState>
  <tableColumns count="19">
    <tableColumn id="1" name="Pl" dataDxfId="262">
      <calculatedColumnFormula>SUM(D43:G43)</calculatedColumnFormula>
    </tableColumn>
    <tableColumn id="2" name="Lag" dataDxfId="261"/>
    <tableColumn id="3" name="R1" dataDxfId="260">
      <calculatedColumnFormula>RANK(H43,$H$43:$H$46)</calculatedColumnFormula>
    </tableColumn>
    <tableColumn id="4" name="R2" dataDxfId="259">
      <calculatedColumnFormula>SUMPRODUCT(($D$43:$D$46=$D43)*($T$43:$T$46&gt;T43))</calculatedColumnFormula>
    </tableColumn>
    <tableColumn id="5" name="R3" dataDxfId="258">
      <calculatedColumnFormula>SUMPRODUCT(($D$43:$D$46=$D43)*($E$43:$E$46=$E43)*($R$43:$R$46&gt;R43))</calculatedColumnFormula>
    </tableColumn>
    <tableColumn id="6" name="IG" dataDxfId="257"/>
    <tableColumn id="7" name="P">
      <calculatedColumnFormula>I43*3+K43</calculatedColumnFormula>
    </tableColumn>
    <tableColumn id="8" name="V" dataDxfId="256">
      <calculatedColumnFormula>L43+O43</calculatedColumnFormula>
    </tableColumn>
    <tableColumn id="9" name="F" dataDxfId="255">
      <calculatedColumnFormula>M43+P43</calculatedColumnFormula>
    </tableColumn>
    <tableColumn id="10" name="O" dataDxfId="254">
      <calculatedColumnFormula>N43+Q43</calculatedColumnFormula>
    </tableColumn>
    <tableColumn id="11" name="HW" dataDxfId="253">
      <calculatedColumnFormula>SUMPRODUCT((Resultat!$E$13:$E$48=C43)*(Resultat!$H$13:$H$48&gt;Resultat!$J$13:$J$48)*(Resultat!$H$13:$H$48&lt;&gt;""))</calculatedColumnFormula>
    </tableColumn>
    <tableColumn id="12" name="HL" dataDxfId="252">
      <calculatedColumnFormula>SUMPRODUCT((Resultat!$E$13:$E$48=C43)*(Resultat!$H$13:$H$48&lt;Resultat!$J$13:$J$48)*(Resultat!$H$13:$H$48&lt;&gt;""))</calculatedColumnFormula>
    </tableColumn>
    <tableColumn id="13" name="HO" dataDxfId="251">
      <calculatedColumnFormula>SUMPRODUCT((Resultat!$E$13:$E$48=C43)*(Resultat!$H$13:$H$48=Resultat!$J$13:$J$48)*(Resultat!$H$13:$H$48&lt;&gt;""))</calculatedColumnFormula>
    </tableColumn>
    <tableColumn id="14" name="AW" dataDxfId="250">
      <calculatedColumnFormula>SUMPRODUCT((Resultat!$G$13:$G$48=C43)*(Resultat!$H$13:$H$48&lt;Resultat!$J$13:$J$48)*(Resultat!$H$13:$H$48&lt;&gt;""))</calculatedColumnFormula>
    </tableColumn>
    <tableColumn id="15" name="AL" dataDxfId="249">
      <calculatedColumnFormula>SUMPRODUCT((Resultat!$G$13:$G$48=C43)*(Resultat!$H$13:$H$48&gt;Resultat!$J$13:$J$48)*(Resultat!$H$13:$H$48&lt;&gt;""))</calculatedColumnFormula>
    </tableColumn>
    <tableColumn id="16" name="AO" dataDxfId="248">
      <calculatedColumnFormula>SUMPRODUCT((Resultat!$G$13:$G$48=C43)*(Resultat!$H$13:$H$48=Resultat!$J$13:$J$48)*(Resultat!$H$13:$H$48&lt;&gt;""))</calculatedColumnFormula>
    </tableColumn>
    <tableColumn id="17" name="GM" dataDxfId="247">
      <calculatedColumnFormula>SUMPRODUCT((Resultat!$E$13:$E$48=C43)*(Resultat!$H$13:$H$48))+SUMPRODUCT((Resultat!$G$13:$G$48=C43)*(Resultat!$J$13:$J$48))</calculatedColumnFormula>
    </tableColumn>
    <tableColumn id="18" name="IM" dataDxfId="246">
      <calculatedColumnFormula>SUMPRODUCT((Resultat!$E$13:$E$48=C43)*(Resultat!$J$13:$J$48))+SUMPRODUCT((Resultat!$G$13:$G$48=C43)*(Resultat!$H$13:$H$48))</calculatedColumnFormula>
    </tableColumn>
    <tableColumn id="19" name="MS" dataDxfId="245">
      <calculatedColumnFormula>R43-S43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18" name="Tabell118" displayName="Tabell118" ref="B51:T55" totalsRowShown="0" headerRowDxfId="244" dataDxfId="243" tableBorderDxfId="242">
  <autoFilter ref="B51:T55"/>
  <sortState ref="B52:T55">
    <sortCondition ref="B51:B55"/>
  </sortState>
  <tableColumns count="19">
    <tableColumn id="1" name="Pl" dataDxfId="241">
      <calculatedColumnFormula>SUM(D52:G52)</calculatedColumnFormula>
    </tableColumn>
    <tableColumn id="2" name="Lag" dataDxfId="240"/>
    <tableColumn id="3" name="R1" dataDxfId="239">
      <calculatedColumnFormula>RANK(H52,$H$52:$H$55)</calculatedColumnFormula>
    </tableColumn>
    <tableColumn id="4" name="R2" dataDxfId="238">
      <calculatedColumnFormula>SUMPRODUCT(($D$52:$D$55=$D52)*($T$52:$T$55&gt;T52))</calculatedColumnFormula>
    </tableColumn>
    <tableColumn id="5" name="R3" dataDxfId="237">
      <calculatedColumnFormula>SUMPRODUCT(($D$52:$D$55=$D52)*($E$52:$E$55=$E52)*($R$52:$R$55&gt;R52))</calculatedColumnFormula>
    </tableColumn>
    <tableColumn id="6" name="IG" dataDxfId="236"/>
    <tableColumn id="7" name="P">
      <calculatedColumnFormula>I52*3+K52</calculatedColumnFormula>
    </tableColumn>
    <tableColumn id="8" name="V" dataDxfId="235">
      <calculatedColumnFormula>L52+O52</calculatedColumnFormula>
    </tableColumn>
    <tableColumn id="9" name="F" dataDxfId="234">
      <calculatedColumnFormula>M52+P52</calculatedColumnFormula>
    </tableColumn>
    <tableColumn id="10" name="O" dataDxfId="233">
      <calculatedColumnFormula>N52+Q52</calculatedColumnFormula>
    </tableColumn>
    <tableColumn id="11" name="HW" dataDxfId="232">
      <calculatedColumnFormula>SUMPRODUCT((Resultat!$E$13:$E$48=C52)*(Resultat!$H$13:$H$48&gt;Resultat!$J$13:$J$48)*(Resultat!$H$13:$H$48&lt;&gt;""))</calculatedColumnFormula>
    </tableColumn>
    <tableColumn id="12" name="HL" dataDxfId="231">
      <calculatedColumnFormula>SUMPRODUCT((Resultat!$E$13:$E$48=C52)*(Resultat!$H$13:$H$48&lt;Resultat!$J$13:$J$48)*(Resultat!$H$13:$H$48&lt;&gt;""))</calculatedColumnFormula>
    </tableColumn>
    <tableColumn id="13" name="HO" dataDxfId="230">
      <calculatedColumnFormula>SUMPRODUCT((Resultat!$E$13:$E$48=C52)*(Resultat!$H$13:$H$48=Resultat!$J$13:$J$48)*(Resultat!$H$13:$H$48&lt;&gt;""))</calculatedColumnFormula>
    </tableColumn>
    <tableColumn id="14" name="AW" dataDxfId="229">
      <calculatedColumnFormula>SUMPRODUCT((Resultat!$G$13:$G$48=C52)*(Resultat!$H$13:$H$48&lt;Resultat!$J$13:$J$48)*(Resultat!$H$13:$H$48&lt;&gt;""))</calculatedColumnFormula>
    </tableColumn>
    <tableColumn id="15" name="AL" dataDxfId="228">
      <calculatedColumnFormula>SUMPRODUCT((Resultat!$G$13:$G$48=C52)*(Resultat!$H$13:$H$48&gt;Resultat!$J$13:$J$48)*(Resultat!$H$13:$H$48&lt;&gt;""))</calculatedColumnFormula>
    </tableColumn>
    <tableColumn id="16" name="AO" dataDxfId="227">
      <calculatedColumnFormula>SUMPRODUCT((Resultat!$G$13:$G$48=C52)*(Resultat!$H$13:$H$48=Resultat!$J$13:$J$48)*(Resultat!$H$13:$H$48&lt;&gt;""))</calculatedColumnFormula>
    </tableColumn>
    <tableColumn id="17" name="GM" dataDxfId="226">
      <calculatedColumnFormula>SUMPRODUCT((Resultat!$E$13:$E$48=C52)*(Resultat!$H$13:$H$48))+SUMPRODUCT((Resultat!$G$13:$G$48=C52)*(Resultat!$J$13:$J$48))</calculatedColumnFormula>
    </tableColumn>
    <tableColumn id="18" name="IM" dataDxfId="225">
      <calculatedColumnFormula>SUMPRODUCT((Resultat!$E$13:$E$48=C52)*(Resultat!$J$13:$J$48))+SUMPRODUCT((Resultat!$G$13:$G$48=C52)*(Resultat!$H$13:$H$48))</calculatedColumnFormula>
    </tableColumn>
    <tableColumn id="19" name="MS" dataDxfId="224">
      <calculatedColumnFormula>R52-S52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4" name="Tabell4" displayName="Tabell4" ref="B6:BB11" totalsRowShown="0">
  <autoFilter ref="B6:BB11"/>
  <sortState ref="B7:BB11">
    <sortCondition descending="1" ref="AH6:AH11"/>
  </sortState>
  <tableColumns count="53">
    <tableColumn id="1" name="Kolumn1"/>
    <tableColumn id="2" name="Kolumn2"/>
    <tableColumn id="3" name="Kolumn3" dataDxfId="223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" name="Kolumn4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5" name="Kolumn5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6" name="Kolumn6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7" name="Kolumn7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8" name="Kolumn8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9" name="Kolumn9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0" name="Kolumn10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1" name="Kolumn11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2" name="Kolumn12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3" name="Kolumn13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4" name="Kolumn14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5" name="Kolumn15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6" name="Kolumn16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7" name="Kolumn17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8" name="Kolumn18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19" name="Kolumn19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0" name="Kolumn20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1" name="Kolumn21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2" name="Kolumn22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3" name="Kolumn23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4" name="Kolumn24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5" name="Kolumn25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6" name="Kolumn26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7" name="Kolumn27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8" name="Kolumn28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29" name="Kolumn29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0" name="Kolumn30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1" name="Kolumn31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2" name="Kolumn32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3" name="Kolumn33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4" name="Kolumn34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5" name="Kolumn35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6" name="Kolumn36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7" name="Kolumn37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8" name="Kolumn38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39" name="Kolumn39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0" name="Kolumn40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1" name="Kolumn41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2" name="Kolumn42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3" name="Kolumn43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4" name="Kolumn44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5" name="Kolumn45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6" name="Kolumn46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7" name="Kolumn47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8" name="Kolumn48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49" name="Kolumn49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50" name="Kolumn50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51" name="Kolumn51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52" name="Kolumn52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  <tableColumn id="53" name="Kolumn53">
      <calculatedColumnFormula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5" name="Tabell5" displayName="Tabell5" ref="B22:BB27" totalsRowShown="0">
  <autoFilter ref="B22:BB27"/>
  <sortState ref="B23:BB27">
    <sortCondition ref="AH22:AH27"/>
  </sortState>
  <tableColumns count="53">
    <tableColumn id="1" name="Kolumn1"/>
    <tableColumn id="2" name="Kolumn2"/>
    <tableColumn id="3" name="Kolumn3" dataDxfId="222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" name="Kolumn4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5" name="Kolumn5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6" name="Kolumn6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7" name="Kolumn7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8" name="Kolumn8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9" name="Kolumn9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0" name="Kolumn10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1" name="Kolumn11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2" name="Kolumn12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3" name="Kolumn13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4" name="Kolumn14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5" name="Kolumn15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6" name="Kolumn16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7" name="Kolumn17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8" name="Kolumn18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19" name="Kolumn19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0" name="Kolumn20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1" name="Kolumn21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2" name="Kolumn22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3" name="Kolumn23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4" name="Kolumn24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5" name="Kolumn25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6" name="Kolumn26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7" name="Kolumn27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8" name="Kolumn28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29" name="Kolumn29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0" name="Kolumn30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1" name="Kolumn31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2" name="Kolumn32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3" name="Kolumn33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4" name="Kolumn34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5" name="Kolumn35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6" name="Kolumn36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7" name="Kolumn37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8" name="Kolumn38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39" name="Kolumn39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0" name="Kolumn40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1" name="Kolumn41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2" name="Kolumn42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3" name="Kolumn43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4" name="Kolumn44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5" name="Kolumn45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6" name="Kolumn46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7" name="Kolumn47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8" name="Kolumn48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49" name="Kolumn49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50" name="Kolumn50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51" name="Kolumn51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52" name="Kolumn52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  <tableColumn id="53" name="Kolumn53">
      <calculatedColumnFormula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4" Type="http://schemas.openxmlformats.org/officeDocument/2006/relationships/table" Target="../tables/table4.xml"/><Relationship Id="rId5" Type="http://schemas.openxmlformats.org/officeDocument/2006/relationships/table" Target="../tables/table5.xml"/><Relationship Id="rId6" Type="http://schemas.openxmlformats.org/officeDocument/2006/relationships/table" Target="../tables/table6.xml"/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Relationship Id="rId2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 enableFormatConditionsCalculation="0">
    <pageSetUpPr autoPageBreaks="0"/>
  </sheetPr>
  <dimension ref="A1:AA77"/>
  <sheetViews>
    <sheetView workbookViewId="0">
      <pane ySplit="12" topLeftCell="A13" activePane="bottomLeft" state="frozen"/>
      <selection pane="bottomLeft" activeCell="L1" sqref="L1"/>
    </sheetView>
  </sheetViews>
  <sheetFormatPr baseColWidth="10" defaultColWidth="8.83203125" defaultRowHeight="13" x14ac:dyDescent="0.15"/>
  <cols>
    <col min="1" max="1" width="8.5" style="34" customWidth="1"/>
    <col min="2" max="2" width="11.83203125" style="34" customWidth="1"/>
    <col min="3" max="3" width="8.83203125" style="34"/>
    <col min="4" max="4" width="8.83203125" style="34" customWidth="1"/>
    <col min="5" max="5" width="14.83203125" style="34" bestFit="1" customWidth="1"/>
    <col min="6" max="6" width="1.5" style="34" bestFit="1" customWidth="1"/>
    <col min="7" max="7" width="14.83203125" style="34" bestFit="1" customWidth="1"/>
    <col min="8" max="8" width="5.1640625" style="34" customWidth="1"/>
    <col min="9" max="9" width="1.5" style="34" customWidth="1"/>
    <col min="10" max="10" width="5.1640625" style="34" customWidth="1"/>
    <col min="11" max="11" width="13.5" style="34" customWidth="1"/>
    <col min="12" max="12" width="8.83203125" style="34" customWidth="1"/>
    <col min="13" max="25" width="8.83203125" style="34"/>
    <col min="26" max="26" width="12.33203125" style="34" customWidth="1"/>
    <col min="27" max="16384" width="8.83203125" style="34"/>
  </cols>
  <sheetData>
    <row r="1" spans="1:27" ht="20" x14ac:dyDescent="0.2">
      <c r="A1" s="1" t="s">
        <v>89</v>
      </c>
      <c r="B1" s="2"/>
      <c r="C1" s="2"/>
      <c r="D1" s="2"/>
      <c r="E1" s="3"/>
      <c r="F1" s="3"/>
      <c r="G1" s="3"/>
      <c r="H1" s="4"/>
      <c r="I1" s="4"/>
      <c r="J1" s="4"/>
      <c r="K1" s="91" t="s">
        <v>188</v>
      </c>
      <c r="L1" s="90">
        <v>5</v>
      </c>
      <c r="M1" s="31" t="s">
        <v>0</v>
      </c>
      <c r="N1" s="32"/>
      <c r="O1" s="32"/>
      <c r="P1" s="32"/>
      <c r="Q1" s="32"/>
      <c r="R1" s="32" t="s">
        <v>1</v>
      </c>
      <c r="S1" s="32"/>
      <c r="T1" s="32" t="s">
        <v>1</v>
      </c>
      <c r="U1" s="32"/>
      <c r="V1" s="32"/>
      <c r="W1" s="32"/>
      <c r="X1" s="33"/>
    </row>
    <row r="2" spans="1:27" ht="12.75" customHeight="1" x14ac:dyDescent="0.15">
      <c r="A2" s="5" t="s">
        <v>2</v>
      </c>
      <c r="B2" s="6"/>
      <c r="C2" s="6"/>
      <c r="D2" s="6"/>
      <c r="E2" s="7"/>
      <c r="F2" s="7"/>
      <c r="G2" s="7"/>
      <c r="H2" s="8"/>
      <c r="I2" s="8"/>
      <c r="J2" s="8"/>
      <c r="K2" s="92"/>
      <c r="L2" s="7"/>
      <c r="M2" s="35" t="s">
        <v>3</v>
      </c>
      <c r="N2" s="36"/>
      <c r="O2" s="36"/>
      <c r="P2" s="36"/>
      <c r="Q2" s="36"/>
      <c r="R2" s="36"/>
      <c r="S2" s="36"/>
      <c r="T2" s="36"/>
      <c r="U2" s="36"/>
      <c r="V2" s="36"/>
      <c r="W2" s="36"/>
      <c r="X2" s="37"/>
    </row>
    <row r="3" spans="1:27" ht="12.75" customHeight="1" x14ac:dyDescent="0.2">
      <c r="A3" s="9" t="s">
        <v>4</v>
      </c>
      <c r="B3" s="10"/>
      <c r="C3" s="10"/>
      <c r="D3" s="10"/>
      <c r="E3" s="10" t="s">
        <v>5</v>
      </c>
      <c r="F3" s="11"/>
      <c r="G3" s="12"/>
      <c r="H3" s="12"/>
      <c r="I3" s="12"/>
      <c r="J3" s="12"/>
      <c r="K3" s="12" t="s">
        <v>6</v>
      </c>
      <c r="L3" s="12"/>
      <c r="M3" s="35" t="s">
        <v>7</v>
      </c>
      <c r="N3" s="36"/>
      <c r="O3" s="36"/>
      <c r="P3" s="36"/>
      <c r="Q3" s="36"/>
      <c r="R3" s="36"/>
      <c r="S3" s="36"/>
      <c r="T3" s="36"/>
      <c r="U3" s="36"/>
      <c r="V3" s="36"/>
      <c r="W3" s="36"/>
      <c r="X3" s="37"/>
      <c r="Z3" t="s">
        <v>117</v>
      </c>
      <c r="AA3">
        <v>2</v>
      </c>
    </row>
    <row r="4" spans="1:27" ht="12.75" customHeight="1" x14ac:dyDescent="0.2">
      <c r="A4" s="13" t="s">
        <v>8</v>
      </c>
      <c r="B4" s="14"/>
      <c r="C4" s="14"/>
      <c r="D4" s="14"/>
      <c r="E4" s="14"/>
      <c r="F4" s="14"/>
      <c r="G4" s="14"/>
      <c r="H4" s="15"/>
      <c r="I4" s="15"/>
      <c r="J4" s="15"/>
      <c r="K4" s="14" t="s">
        <v>9</v>
      </c>
      <c r="L4" s="16">
        <v>4</v>
      </c>
      <c r="M4" s="38"/>
      <c r="N4" s="36"/>
      <c r="O4" s="36"/>
      <c r="P4" s="36"/>
      <c r="Q4" s="36"/>
      <c r="R4" s="36"/>
      <c r="S4" s="36"/>
      <c r="T4" s="36"/>
      <c r="U4" s="36"/>
      <c r="V4" s="36"/>
      <c r="W4" s="36"/>
      <c r="X4" s="37"/>
      <c r="Z4" t="s">
        <v>116</v>
      </c>
      <c r="AA4">
        <v>1</v>
      </c>
    </row>
    <row r="5" spans="1:27" ht="12.75" customHeight="1" x14ac:dyDescent="0.2">
      <c r="A5" s="17" t="s">
        <v>10</v>
      </c>
      <c r="B5" s="18"/>
      <c r="C5" s="18"/>
      <c r="D5" s="18"/>
      <c r="E5" s="18" t="s">
        <v>11</v>
      </c>
      <c r="F5" s="18"/>
      <c r="G5" s="18"/>
      <c r="H5" s="19"/>
      <c r="I5" s="19"/>
      <c r="J5" s="19"/>
      <c r="K5" s="18" t="s">
        <v>12</v>
      </c>
      <c r="L5" s="20">
        <v>6</v>
      </c>
      <c r="M5" s="35" t="s">
        <v>13</v>
      </c>
      <c r="N5" s="36"/>
      <c r="O5" s="36"/>
      <c r="P5" s="36"/>
      <c r="Q5" s="36"/>
      <c r="R5" s="36"/>
      <c r="S5" s="36"/>
      <c r="T5" s="36"/>
      <c r="U5" s="36"/>
      <c r="V5" s="36"/>
      <c r="W5" s="36"/>
      <c r="X5" s="37"/>
      <c r="Z5" t="s">
        <v>115</v>
      </c>
      <c r="AA5">
        <v>2</v>
      </c>
    </row>
    <row r="6" spans="1:27" ht="12.75" customHeight="1" x14ac:dyDescent="0.2">
      <c r="A6" s="17" t="s">
        <v>14</v>
      </c>
      <c r="B6" s="18"/>
      <c r="C6" s="18"/>
      <c r="D6" s="18"/>
      <c r="E6" s="18" t="s">
        <v>15</v>
      </c>
      <c r="F6" s="18"/>
      <c r="G6" s="18"/>
      <c r="H6" s="19"/>
      <c r="I6" s="19"/>
      <c r="J6" s="19"/>
      <c r="K6" s="18" t="s">
        <v>16</v>
      </c>
      <c r="L6" s="20">
        <v>10</v>
      </c>
      <c r="M6" s="38" t="s">
        <v>17</v>
      </c>
      <c r="N6" s="36"/>
      <c r="O6" s="36"/>
      <c r="P6" s="36"/>
      <c r="Q6" s="36"/>
      <c r="R6" s="36"/>
      <c r="S6" s="36"/>
      <c r="T6" s="36"/>
      <c r="U6" s="36"/>
      <c r="V6" s="36"/>
      <c r="W6" s="36"/>
      <c r="X6" s="37"/>
      <c r="Z6" t="s">
        <v>107</v>
      </c>
      <c r="AA6">
        <v>2</v>
      </c>
    </row>
    <row r="7" spans="1:27" ht="12.75" customHeight="1" x14ac:dyDescent="0.15">
      <c r="A7" s="17" t="s">
        <v>18</v>
      </c>
      <c r="B7" s="18"/>
      <c r="C7" s="18"/>
      <c r="D7" s="18"/>
      <c r="E7" s="18" t="s">
        <v>19</v>
      </c>
      <c r="F7" s="18"/>
      <c r="G7" s="18"/>
      <c r="H7" s="19"/>
      <c r="I7" s="19"/>
      <c r="J7" s="19"/>
      <c r="K7" s="18" t="s">
        <v>20</v>
      </c>
      <c r="L7" s="20">
        <v>14</v>
      </c>
      <c r="M7" s="38" t="s">
        <v>21</v>
      </c>
      <c r="N7" s="36"/>
      <c r="O7" s="36"/>
      <c r="P7" s="36"/>
      <c r="Q7" s="36"/>
      <c r="R7" s="36"/>
      <c r="S7" s="36"/>
      <c r="T7" s="36"/>
      <c r="U7" s="36"/>
      <c r="V7" s="36"/>
      <c r="W7" s="36"/>
      <c r="X7" s="37"/>
    </row>
    <row r="8" spans="1:27" ht="12.75" customHeight="1" x14ac:dyDescent="0.15">
      <c r="A8" s="17" t="s">
        <v>22</v>
      </c>
      <c r="B8" s="18"/>
      <c r="C8" s="18"/>
      <c r="D8" s="18"/>
      <c r="E8" s="18"/>
      <c r="F8" s="18"/>
      <c r="G8" s="18"/>
      <c r="H8" s="19"/>
      <c r="I8" s="19"/>
      <c r="J8" s="19"/>
      <c r="K8" s="18" t="s">
        <v>23</v>
      </c>
      <c r="L8" s="20">
        <v>16</v>
      </c>
      <c r="M8" s="38" t="s">
        <v>24</v>
      </c>
      <c r="N8" s="36"/>
      <c r="O8" s="36"/>
      <c r="P8" s="36"/>
      <c r="Q8" s="36"/>
      <c r="R8" s="36"/>
      <c r="S8" s="36"/>
      <c r="T8" s="36"/>
      <c r="U8" s="36"/>
      <c r="V8" s="36"/>
      <c r="W8" s="36"/>
      <c r="X8" s="37"/>
    </row>
    <row r="9" spans="1:27" ht="12.75" customHeight="1" x14ac:dyDescent="0.15">
      <c r="A9" s="17" t="s">
        <v>25</v>
      </c>
      <c r="B9" s="18"/>
      <c r="C9" s="18"/>
      <c r="D9" s="18"/>
      <c r="E9" s="18"/>
      <c r="F9" s="18"/>
      <c r="G9" s="18"/>
      <c r="H9" s="19"/>
      <c r="I9" s="19"/>
      <c r="J9" s="19"/>
      <c r="K9" s="18"/>
      <c r="L9" s="18"/>
      <c r="M9" s="35" t="s">
        <v>26</v>
      </c>
      <c r="N9" s="36"/>
      <c r="O9" s="36"/>
      <c r="P9" s="36"/>
      <c r="Q9" s="36"/>
      <c r="R9" s="36"/>
      <c r="S9" s="36"/>
      <c r="T9" s="36"/>
      <c r="U9" s="36"/>
      <c r="V9" s="36"/>
      <c r="W9" s="36"/>
      <c r="X9" s="37"/>
    </row>
    <row r="10" spans="1:27" ht="12.75" customHeight="1" x14ac:dyDescent="0.15">
      <c r="A10" s="21" t="s">
        <v>27</v>
      </c>
      <c r="B10" s="22"/>
      <c r="C10" s="22"/>
      <c r="D10" s="22"/>
      <c r="E10" s="22"/>
      <c r="F10" s="22"/>
      <c r="G10" s="22"/>
      <c r="H10" s="23"/>
      <c r="I10" s="23"/>
      <c r="J10" s="23"/>
      <c r="K10" s="22"/>
      <c r="L10" s="22"/>
      <c r="M10" s="38" t="s">
        <v>28</v>
      </c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7"/>
    </row>
    <row r="11" spans="1:27" ht="12.75" customHeight="1" x14ac:dyDescent="0.15">
      <c r="A11" s="13"/>
      <c r="B11" s="24"/>
      <c r="C11" s="24"/>
      <c r="D11" s="24"/>
      <c r="E11" s="24"/>
      <c r="F11" s="24"/>
      <c r="G11" s="24"/>
      <c r="H11" s="24"/>
      <c r="I11" s="24"/>
      <c r="J11" s="24"/>
      <c r="K11" s="25"/>
      <c r="L11" s="26"/>
      <c r="M11" s="39" t="s">
        <v>29</v>
      </c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1"/>
    </row>
    <row r="12" spans="1:27" x14ac:dyDescent="0.15">
      <c r="A12" s="27" t="s">
        <v>30</v>
      </c>
      <c r="B12" s="25" t="s">
        <v>31</v>
      </c>
      <c r="C12" s="28" t="s">
        <v>32</v>
      </c>
      <c r="D12" s="28" t="s">
        <v>33</v>
      </c>
      <c r="E12" s="95" t="s">
        <v>34</v>
      </c>
      <c r="F12" s="96"/>
      <c r="G12" s="95"/>
      <c r="H12" s="95" t="s">
        <v>35</v>
      </c>
      <c r="I12" s="95"/>
      <c r="J12" s="95"/>
      <c r="K12" s="97" t="s">
        <v>36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</row>
    <row r="13" spans="1:27" x14ac:dyDescent="0.15">
      <c r="A13" s="42">
        <v>1</v>
      </c>
      <c r="B13" s="43">
        <v>42531</v>
      </c>
      <c r="C13" s="44" t="s">
        <v>42</v>
      </c>
      <c r="D13" s="42" t="s">
        <v>38</v>
      </c>
      <c r="E13" s="45" t="s">
        <v>51</v>
      </c>
      <c r="F13" s="46" t="s">
        <v>39</v>
      </c>
      <c r="G13" s="47" t="s">
        <v>60</v>
      </c>
      <c r="H13" s="48">
        <v>2</v>
      </c>
      <c r="I13" s="46" t="s">
        <v>39</v>
      </c>
      <c r="J13" s="49">
        <v>4</v>
      </c>
      <c r="K13" s="34" t="s">
        <v>110</v>
      </c>
    </row>
    <row r="14" spans="1:27" x14ac:dyDescent="0.15">
      <c r="A14" s="42">
        <v>2</v>
      </c>
      <c r="B14" s="43">
        <v>42532</v>
      </c>
      <c r="C14" s="44" t="s">
        <v>59</v>
      </c>
      <c r="D14" s="42" t="s">
        <v>38</v>
      </c>
      <c r="E14" s="45" t="s">
        <v>61</v>
      </c>
      <c r="F14" s="46" t="s">
        <v>39</v>
      </c>
      <c r="G14" s="47" t="s">
        <v>50</v>
      </c>
      <c r="H14" s="48">
        <v>1</v>
      </c>
      <c r="I14" s="46" t="s">
        <v>39</v>
      </c>
      <c r="J14" s="49">
        <v>0</v>
      </c>
      <c r="K14" s="34" t="s">
        <v>110</v>
      </c>
      <c r="L14" s="34" t="s">
        <v>111</v>
      </c>
    </row>
    <row r="15" spans="1:27" x14ac:dyDescent="0.15">
      <c r="A15" s="42">
        <v>3</v>
      </c>
      <c r="B15" s="43">
        <v>42532</v>
      </c>
      <c r="C15" s="44" t="s">
        <v>41</v>
      </c>
      <c r="D15" s="42" t="s">
        <v>43</v>
      </c>
      <c r="E15" s="45" t="s">
        <v>62</v>
      </c>
      <c r="F15" s="46" t="s">
        <v>39</v>
      </c>
      <c r="G15" s="47" t="s">
        <v>63</v>
      </c>
      <c r="H15" s="48">
        <v>2</v>
      </c>
      <c r="I15" s="46" t="s">
        <v>39</v>
      </c>
      <c r="J15" s="49">
        <v>2</v>
      </c>
      <c r="K15" s="34" t="s">
        <v>112</v>
      </c>
    </row>
    <row r="16" spans="1:27" x14ac:dyDescent="0.15">
      <c r="A16" s="42">
        <v>4</v>
      </c>
      <c r="B16" s="43">
        <v>42532</v>
      </c>
      <c r="C16" s="44" t="s">
        <v>42</v>
      </c>
      <c r="D16" s="42" t="s">
        <v>43</v>
      </c>
      <c r="E16" s="45" t="s">
        <v>47</v>
      </c>
      <c r="F16" s="46" t="s">
        <v>39</v>
      </c>
      <c r="G16" s="47" t="s">
        <v>56</v>
      </c>
      <c r="H16" s="48">
        <v>1</v>
      </c>
      <c r="I16" s="46" t="s">
        <v>39</v>
      </c>
      <c r="J16" s="49">
        <v>0</v>
      </c>
      <c r="K16" s="34" t="s">
        <v>113</v>
      </c>
    </row>
    <row r="17" spans="1:10" x14ac:dyDescent="0.15">
      <c r="A17" s="42">
        <v>5</v>
      </c>
      <c r="B17" s="43">
        <v>42533</v>
      </c>
      <c r="C17" s="44" t="s">
        <v>59</v>
      </c>
      <c r="D17" s="42" t="s">
        <v>46</v>
      </c>
      <c r="E17" s="45" t="s">
        <v>64</v>
      </c>
      <c r="F17" s="46" t="s">
        <v>39</v>
      </c>
      <c r="G17" s="47" t="s">
        <v>40</v>
      </c>
      <c r="H17" s="48">
        <v>2</v>
      </c>
      <c r="I17" s="46" t="s">
        <v>39</v>
      </c>
      <c r="J17" s="49">
        <v>2</v>
      </c>
    </row>
    <row r="18" spans="1:10" x14ac:dyDescent="0.15">
      <c r="A18" s="42">
        <v>6</v>
      </c>
      <c r="B18" s="43">
        <v>42533</v>
      </c>
      <c r="C18" s="44" t="s">
        <v>41</v>
      </c>
      <c r="D18" s="42" t="s">
        <v>45</v>
      </c>
      <c r="E18" s="45" t="s">
        <v>65</v>
      </c>
      <c r="F18" s="46" t="s">
        <v>39</v>
      </c>
      <c r="G18" s="47" t="s">
        <v>66</v>
      </c>
      <c r="H18" s="48">
        <v>1</v>
      </c>
      <c r="I18" s="46" t="s">
        <v>39</v>
      </c>
      <c r="J18" s="49">
        <v>0</v>
      </c>
    </row>
    <row r="19" spans="1:10" x14ac:dyDescent="0.15">
      <c r="A19" s="42">
        <v>7</v>
      </c>
      <c r="B19" s="43">
        <v>42533</v>
      </c>
      <c r="C19" s="44" t="s">
        <v>42</v>
      </c>
      <c r="D19" s="42" t="s">
        <v>45</v>
      </c>
      <c r="E19" s="45" t="s">
        <v>53</v>
      </c>
      <c r="F19" s="46" t="s">
        <v>39</v>
      </c>
      <c r="G19" s="47" t="s">
        <v>67</v>
      </c>
      <c r="H19" s="48">
        <v>1</v>
      </c>
      <c r="I19" s="46" t="s">
        <v>39</v>
      </c>
      <c r="J19" s="49">
        <v>0</v>
      </c>
    </row>
    <row r="20" spans="1:10" x14ac:dyDescent="0.15">
      <c r="A20" s="42">
        <v>8</v>
      </c>
      <c r="B20" s="43">
        <v>42534</v>
      </c>
      <c r="C20" s="44" t="s">
        <v>59</v>
      </c>
      <c r="D20" s="42" t="s">
        <v>46</v>
      </c>
      <c r="E20" s="45" t="s">
        <v>44</v>
      </c>
      <c r="F20" s="46" t="s">
        <v>39</v>
      </c>
      <c r="G20" s="47" t="s">
        <v>68</v>
      </c>
      <c r="H20" s="48">
        <v>2</v>
      </c>
      <c r="I20" s="46" t="s">
        <v>39</v>
      </c>
      <c r="J20" s="49">
        <v>2</v>
      </c>
    </row>
    <row r="21" spans="1:10" x14ac:dyDescent="0.15">
      <c r="A21" s="42">
        <v>9</v>
      </c>
      <c r="B21" s="43">
        <v>42534</v>
      </c>
      <c r="C21" s="44" t="s">
        <v>41</v>
      </c>
      <c r="D21" s="42" t="s">
        <v>49</v>
      </c>
      <c r="E21" s="45" t="s">
        <v>69</v>
      </c>
      <c r="F21" s="46" t="s">
        <v>39</v>
      </c>
      <c r="G21" s="47" t="s">
        <v>70</v>
      </c>
      <c r="H21" s="48">
        <v>1</v>
      </c>
      <c r="I21" s="46" t="s">
        <v>39</v>
      </c>
      <c r="J21" s="49">
        <v>0</v>
      </c>
    </row>
    <row r="22" spans="1:10" x14ac:dyDescent="0.15">
      <c r="A22" s="42">
        <v>10</v>
      </c>
      <c r="B22" s="43">
        <v>42534</v>
      </c>
      <c r="C22" s="44" t="s">
        <v>42</v>
      </c>
      <c r="D22" s="42" t="s">
        <v>49</v>
      </c>
      <c r="E22" s="45" t="s">
        <v>55</v>
      </c>
      <c r="F22" s="46" t="s">
        <v>39</v>
      </c>
      <c r="G22" s="47" t="s">
        <v>48</v>
      </c>
      <c r="H22" s="48">
        <v>1</v>
      </c>
      <c r="I22" s="46" t="s">
        <v>39</v>
      </c>
      <c r="J22" s="49">
        <v>1</v>
      </c>
    </row>
    <row r="23" spans="1:10" x14ac:dyDescent="0.15">
      <c r="A23" s="42">
        <v>11</v>
      </c>
      <c r="B23" s="43">
        <v>42535</v>
      </c>
      <c r="C23" s="44" t="s">
        <v>41</v>
      </c>
      <c r="D23" s="42" t="s">
        <v>52</v>
      </c>
      <c r="E23" s="45" t="s">
        <v>71</v>
      </c>
      <c r="F23" s="46" t="s">
        <v>39</v>
      </c>
      <c r="G23" s="47" t="s">
        <v>72</v>
      </c>
      <c r="H23" s="48">
        <v>2</v>
      </c>
      <c r="I23" s="46" t="s">
        <v>39</v>
      </c>
      <c r="J23" s="49">
        <v>0</v>
      </c>
    </row>
    <row r="24" spans="1:10" x14ac:dyDescent="0.15">
      <c r="A24" s="42">
        <v>12</v>
      </c>
      <c r="B24" s="43">
        <v>42535</v>
      </c>
      <c r="C24" s="44" t="s">
        <v>42</v>
      </c>
      <c r="D24" s="42" t="s">
        <v>52</v>
      </c>
      <c r="E24" s="45" t="s">
        <v>54</v>
      </c>
      <c r="F24" s="46" t="s">
        <v>39</v>
      </c>
      <c r="G24" s="47" t="s">
        <v>73</v>
      </c>
      <c r="H24" s="48">
        <v>1</v>
      </c>
      <c r="I24" s="46" t="s">
        <v>39</v>
      </c>
      <c r="J24" s="49">
        <v>2</v>
      </c>
    </row>
    <row r="25" spans="1:10" x14ac:dyDescent="0.15">
      <c r="A25" s="42">
        <v>13</v>
      </c>
      <c r="B25" s="43">
        <v>42536</v>
      </c>
      <c r="C25" s="44" t="s">
        <v>59</v>
      </c>
      <c r="D25" s="42" t="s">
        <v>43</v>
      </c>
      <c r="E25" s="45" t="s">
        <v>56</v>
      </c>
      <c r="F25" s="46" t="s">
        <v>39</v>
      </c>
      <c r="G25" s="47" t="s">
        <v>63</v>
      </c>
      <c r="H25" s="48">
        <v>1</v>
      </c>
      <c r="I25" s="46" t="s">
        <v>39</v>
      </c>
      <c r="J25" s="49">
        <v>1</v>
      </c>
    </row>
    <row r="26" spans="1:10" x14ac:dyDescent="0.15">
      <c r="A26" s="42">
        <v>14</v>
      </c>
      <c r="B26" s="43">
        <v>42536</v>
      </c>
      <c r="C26" s="44" t="s">
        <v>41</v>
      </c>
      <c r="D26" s="42" t="s">
        <v>38</v>
      </c>
      <c r="E26" s="45" t="s">
        <v>60</v>
      </c>
      <c r="F26" s="46" t="s">
        <v>39</v>
      </c>
      <c r="G26" s="47" t="s">
        <v>50</v>
      </c>
      <c r="H26" s="48">
        <v>3</v>
      </c>
      <c r="I26" s="46" t="s">
        <v>39</v>
      </c>
      <c r="J26" s="49">
        <v>2</v>
      </c>
    </row>
    <row r="27" spans="1:10" x14ac:dyDescent="0.15">
      <c r="A27" s="42">
        <v>15</v>
      </c>
      <c r="B27" s="43">
        <v>42536</v>
      </c>
      <c r="C27" s="44" t="s">
        <v>42</v>
      </c>
      <c r="D27" s="42" t="s">
        <v>38</v>
      </c>
      <c r="E27" s="45" t="s">
        <v>51</v>
      </c>
      <c r="F27" s="46" t="s">
        <v>39</v>
      </c>
      <c r="G27" s="47" t="s">
        <v>61</v>
      </c>
      <c r="H27" s="48">
        <v>2</v>
      </c>
      <c r="I27" s="46" t="s">
        <v>39</v>
      </c>
      <c r="J27" s="49">
        <v>1</v>
      </c>
    </row>
    <row r="28" spans="1:10" x14ac:dyDescent="0.15">
      <c r="A28" s="42">
        <v>16</v>
      </c>
      <c r="B28" s="43">
        <v>42537</v>
      </c>
      <c r="C28" s="44" t="s">
        <v>59</v>
      </c>
      <c r="D28" s="42" t="s">
        <v>43</v>
      </c>
      <c r="E28" s="45" t="s">
        <v>47</v>
      </c>
      <c r="F28" s="46" t="s">
        <v>39</v>
      </c>
      <c r="G28" s="47" t="s">
        <v>62</v>
      </c>
      <c r="H28" s="48">
        <v>1</v>
      </c>
      <c r="I28" s="46" t="s">
        <v>39</v>
      </c>
      <c r="J28" s="49">
        <v>0</v>
      </c>
    </row>
    <row r="29" spans="1:10" x14ac:dyDescent="0.15">
      <c r="A29" s="42">
        <v>17</v>
      </c>
      <c r="B29" s="43">
        <v>42537</v>
      </c>
      <c r="C29" s="44" t="s">
        <v>41</v>
      </c>
      <c r="D29" s="42" t="s">
        <v>45</v>
      </c>
      <c r="E29" s="45" t="s">
        <v>67</v>
      </c>
      <c r="F29" s="46" t="s">
        <v>39</v>
      </c>
      <c r="G29" s="47" t="s">
        <v>66</v>
      </c>
      <c r="H29" s="48">
        <v>1</v>
      </c>
      <c r="I29" s="46" t="s">
        <v>39</v>
      </c>
      <c r="J29" s="49">
        <v>2</v>
      </c>
    </row>
    <row r="30" spans="1:10" x14ac:dyDescent="0.15">
      <c r="A30" s="42">
        <v>18</v>
      </c>
      <c r="B30" s="43">
        <v>42537</v>
      </c>
      <c r="C30" s="44" t="s">
        <v>42</v>
      </c>
      <c r="D30" s="42" t="s">
        <v>45</v>
      </c>
      <c r="E30" s="45" t="s">
        <v>53</v>
      </c>
      <c r="F30" s="46" t="s">
        <v>39</v>
      </c>
      <c r="G30" s="47" t="s">
        <v>65</v>
      </c>
      <c r="H30" s="48">
        <v>1</v>
      </c>
      <c r="I30" s="46" t="s">
        <v>39</v>
      </c>
      <c r="J30" s="49">
        <v>1</v>
      </c>
    </row>
    <row r="31" spans="1:10" x14ac:dyDescent="0.15">
      <c r="A31" s="42">
        <v>19</v>
      </c>
      <c r="B31" s="43">
        <v>42538</v>
      </c>
      <c r="C31" s="44" t="s">
        <v>59</v>
      </c>
      <c r="D31" s="42" t="s">
        <v>49</v>
      </c>
      <c r="E31" s="45" t="s">
        <v>48</v>
      </c>
      <c r="F31" s="46" t="s">
        <v>39</v>
      </c>
      <c r="G31" s="47" t="s">
        <v>70</v>
      </c>
      <c r="H31" s="48">
        <v>1</v>
      </c>
      <c r="I31" s="46" t="s">
        <v>39</v>
      </c>
      <c r="J31" s="49">
        <v>1</v>
      </c>
    </row>
    <row r="32" spans="1:10" x14ac:dyDescent="0.15">
      <c r="A32" s="42">
        <v>20</v>
      </c>
      <c r="B32" s="43">
        <v>42538</v>
      </c>
      <c r="C32" s="50" t="s">
        <v>41</v>
      </c>
      <c r="D32" s="42" t="s">
        <v>46</v>
      </c>
      <c r="E32" s="45" t="s">
        <v>68</v>
      </c>
      <c r="F32" s="46" t="s">
        <v>39</v>
      </c>
      <c r="G32" s="47" t="s">
        <v>40</v>
      </c>
      <c r="H32" s="48">
        <v>2</v>
      </c>
      <c r="I32" s="46" t="s">
        <v>39</v>
      </c>
      <c r="J32" s="49">
        <v>2</v>
      </c>
    </row>
    <row r="33" spans="1:10" x14ac:dyDescent="0.15">
      <c r="A33" s="42">
        <v>21</v>
      </c>
      <c r="B33" s="43">
        <v>42538</v>
      </c>
      <c r="C33" s="44" t="s">
        <v>42</v>
      </c>
      <c r="D33" s="42" t="s">
        <v>46</v>
      </c>
      <c r="E33" s="45" t="s">
        <v>44</v>
      </c>
      <c r="F33" s="46" t="s">
        <v>39</v>
      </c>
      <c r="G33" s="47" t="s">
        <v>64</v>
      </c>
      <c r="H33" s="48">
        <v>1</v>
      </c>
      <c r="I33" s="46" t="s">
        <v>39</v>
      </c>
      <c r="J33" s="49">
        <v>2</v>
      </c>
    </row>
    <row r="34" spans="1:10" x14ac:dyDescent="0.15">
      <c r="A34" s="42">
        <v>22</v>
      </c>
      <c r="B34" s="43">
        <v>42539</v>
      </c>
      <c r="C34" s="44" t="s">
        <v>59</v>
      </c>
      <c r="D34" s="42" t="s">
        <v>49</v>
      </c>
      <c r="E34" s="45" t="s">
        <v>55</v>
      </c>
      <c r="F34" s="46" t="s">
        <v>39</v>
      </c>
      <c r="G34" s="47" t="s">
        <v>69</v>
      </c>
      <c r="H34" s="48">
        <v>1</v>
      </c>
      <c r="I34" s="46" t="s">
        <v>39</v>
      </c>
      <c r="J34" s="49">
        <v>2</v>
      </c>
    </row>
    <row r="35" spans="1:10" x14ac:dyDescent="0.15">
      <c r="A35" s="42">
        <v>23</v>
      </c>
      <c r="B35" s="43">
        <v>42539</v>
      </c>
      <c r="C35" s="44" t="s">
        <v>41</v>
      </c>
      <c r="D35" s="42" t="s">
        <v>52</v>
      </c>
      <c r="E35" s="45" t="s">
        <v>73</v>
      </c>
      <c r="F35" s="46" t="s">
        <v>39</v>
      </c>
      <c r="G35" s="47" t="s">
        <v>72</v>
      </c>
      <c r="H35" s="48">
        <v>1</v>
      </c>
      <c r="I35" s="46" t="s">
        <v>39</v>
      </c>
      <c r="J35" s="49">
        <v>1</v>
      </c>
    </row>
    <row r="36" spans="1:10" x14ac:dyDescent="0.15">
      <c r="A36" s="42">
        <v>24</v>
      </c>
      <c r="B36" s="43">
        <v>42539</v>
      </c>
      <c r="C36" s="44" t="s">
        <v>42</v>
      </c>
      <c r="D36" s="42" t="s">
        <v>52</v>
      </c>
      <c r="E36" s="45" t="s">
        <v>54</v>
      </c>
      <c r="F36" s="46" t="s">
        <v>39</v>
      </c>
      <c r="G36" s="47" t="s">
        <v>71</v>
      </c>
      <c r="H36" s="48">
        <v>1</v>
      </c>
      <c r="I36" s="46" t="s">
        <v>39</v>
      </c>
      <c r="J36" s="49">
        <v>2</v>
      </c>
    </row>
    <row r="37" spans="1:10" x14ac:dyDescent="0.15">
      <c r="A37" s="42">
        <v>25</v>
      </c>
      <c r="B37" s="43">
        <v>42540</v>
      </c>
      <c r="C37" s="44" t="s">
        <v>42</v>
      </c>
      <c r="D37" s="42" t="s">
        <v>38</v>
      </c>
      <c r="E37" s="45" t="s">
        <v>50</v>
      </c>
      <c r="F37" s="46" t="s">
        <v>39</v>
      </c>
      <c r="G37" s="47" t="s">
        <v>51</v>
      </c>
      <c r="H37" s="48">
        <v>2</v>
      </c>
      <c r="I37" s="46" t="s">
        <v>39</v>
      </c>
      <c r="J37" s="49">
        <v>0</v>
      </c>
    </row>
    <row r="38" spans="1:10" x14ac:dyDescent="0.15">
      <c r="A38" s="42">
        <v>26</v>
      </c>
      <c r="B38" s="43">
        <v>42540</v>
      </c>
      <c r="C38" s="44" t="s">
        <v>42</v>
      </c>
      <c r="D38" s="42" t="s">
        <v>38</v>
      </c>
      <c r="E38" s="45" t="s">
        <v>60</v>
      </c>
      <c r="F38" s="46" t="s">
        <v>39</v>
      </c>
      <c r="G38" s="47" t="s">
        <v>61</v>
      </c>
      <c r="H38" s="48">
        <v>2</v>
      </c>
      <c r="I38" s="46" t="s">
        <v>39</v>
      </c>
      <c r="J38" s="49">
        <v>1</v>
      </c>
    </row>
    <row r="39" spans="1:10" x14ac:dyDescent="0.15">
      <c r="A39" s="42">
        <v>27</v>
      </c>
      <c r="B39" s="43">
        <v>42541</v>
      </c>
      <c r="C39" s="44" t="s">
        <v>42</v>
      </c>
      <c r="D39" s="42" t="s">
        <v>43</v>
      </c>
      <c r="E39" s="45" t="s">
        <v>63</v>
      </c>
      <c r="F39" s="46" t="s">
        <v>39</v>
      </c>
      <c r="G39" s="47" t="s">
        <v>47</v>
      </c>
      <c r="H39" s="48">
        <v>1</v>
      </c>
      <c r="I39" s="46" t="s">
        <v>39</v>
      </c>
      <c r="J39" s="49">
        <v>0</v>
      </c>
    </row>
    <row r="40" spans="1:10" x14ac:dyDescent="0.15">
      <c r="A40" s="42">
        <v>28</v>
      </c>
      <c r="B40" s="43">
        <v>42541</v>
      </c>
      <c r="C40" s="44" t="s">
        <v>42</v>
      </c>
      <c r="D40" s="42" t="s">
        <v>43</v>
      </c>
      <c r="E40" s="45" t="s">
        <v>56</v>
      </c>
      <c r="F40" s="46" t="s">
        <v>39</v>
      </c>
      <c r="G40" s="47" t="s">
        <v>62</v>
      </c>
      <c r="H40" s="48">
        <v>1</v>
      </c>
      <c r="I40" s="46" t="s">
        <v>39</v>
      </c>
      <c r="J40" s="49">
        <v>2</v>
      </c>
    </row>
    <row r="41" spans="1:10" x14ac:dyDescent="0.15">
      <c r="A41" s="42">
        <v>29</v>
      </c>
      <c r="B41" s="43">
        <v>42542</v>
      </c>
      <c r="C41" s="44" t="s">
        <v>41</v>
      </c>
      <c r="D41" s="42" t="s">
        <v>45</v>
      </c>
      <c r="E41" s="45" t="s">
        <v>66</v>
      </c>
      <c r="F41" s="46" t="s">
        <v>39</v>
      </c>
      <c r="G41" s="47" t="s">
        <v>53</v>
      </c>
      <c r="H41" s="48">
        <v>1</v>
      </c>
      <c r="I41" s="46" t="s">
        <v>39</v>
      </c>
      <c r="J41" s="49">
        <v>0</v>
      </c>
    </row>
    <row r="42" spans="1:10" x14ac:dyDescent="0.15">
      <c r="A42" s="42">
        <v>30</v>
      </c>
      <c r="B42" s="43">
        <v>42542</v>
      </c>
      <c r="C42" s="44" t="s">
        <v>41</v>
      </c>
      <c r="D42" s="42" t="s">
        <v>45</v>
      </c>
      <c r="E42" s="45" t="s">
        <v>67</v>
      </c>
      <c r="F42" s="46" t="s">
        <v>39</v>
      </c>
      <c r="G42" s="47" t="s">
        <v>65</v>
      </c>
      <c r="H42" s="48">
        <v>2</v>
      </c>
      <c r="I42" s="46" t="s">
        <v>39</v>
      </c>
      <c r="J42" s="49">
        <v>2</v>
      </c>
    </row>
    <row r="43" spans="1:10" x14ac:dyDescent="0.15">
      <c r="A43" s="42">
        <v>31</v>
      </c>
      <c r="B43" s="43">
        <v>42542</v>
      </c>
      <c r="C43" s="44" t="s">
        <v>42</v>
      </c>
      <c r="D43" s="42" t="s">
        <v>46</v>
      </c>
      <c r="E43" s="45" t="s">
        <v>40</v>
      </c>
      <c r="F43" s="46" t="s">
        <v>39</v>
      </c>
      <c r="G43" s="47" t="s">
        <v>44</v>
      </c>
      <c r="H43" s="48">
        <v>2</v>
      </c>
      <c r="I43" s="46" t="s">
        <v>39</v>
      </c>
      <c r="J43" s="49">
        <v>2</v>
      </c>
    </row>
    <row r="44" spans="1:10" x14ac:dyDescent="0.15">
      <c r="A44" s="42">
        <v>32</v>
      </c>
      <c r="B44" s="43">
        <v>42542</v>
      </c>
      <c r="C44" s="44" t="s">
        <v>42</v>
      </c>
      <c r="D44" s="42" t="s">
        <v>46</v>
      </c>
      <c r="E44" s="45" t="s">
        <v>68</v>
      </c>
      <c r="F44" s="46" t="s">
        <v>39</v>
      </c>
      <c r="G44" s="47" t="s">
        <v>64</v>
      </c>
      <c r="H44" s="48"/>
      <c r="I44" s="46" t="s">
        <v>39</v>
      </c>
      <c r="J44" s="49"/>
    </row>
    <row r="45" spans="1:10" x14ac:dyDescent="0.15">
      <c r="A45" s="42">
        <v>33</v>
      </c>
      <c r="B45" s="43">
        <v>42543</v>
      </c>
      <c r="C45" s="44" t="s">
        <v>41</v>
      </c>
      <c r="D45" s="42" t="s">
        <v>52</v>
      </c>
      <c r="E45" s="45" t="s">
        <v>72</v>
      </c>
      <c r="F45" s="46" t="s">
        <v>39</v>
      </c>
      <c r="G45" s="47" t="s">
        <v>54</v>
      </c>
      <c r="H45" s="48"/>
      <c r="I45" s="46" t="s">
        <v>39</v>
      </c>
      <c r="J45" s="49"/>
    </row>
    <row r="46" spans="1:10" x14ac:dyDescent="0.15">
      <c r="A46" s="42">
        <v>34</v>
      </c>
      <c r="B46" s="43">
        <v>42543</v>
      </c>
      <c r="C46" s="44" t="s">
        <v>41</v>
      </c>
      <c r="D46" s="42" t="s">
        <v>52</v>
      </c>
      <c r="E46" s="45" t="s">
        <v>73</v>
      </c>
      <c r="F46" s="46" t="s">
        <v>39</v>
      </c>
      <c r="G46" s="47" t="s">
        <v>71</v>
      </c>
      <c r="H46" s="48"/>
      <c r="I46" s="46" t="s">
        <v>39</v>
      </c>
      <c r="J46" s="49"/>
    </row>
    <row r="47" spans="1:10" x14ac:dyDescent="0.15">
      <c r="A47" s="42">
        <v>35</v>
      </c>
      <c r="B47" s="43">
        <v>42543</v>
      </c>
      <c r="C47" s="44" t="s">
        <v>42</v>
      </c>
      <c r="D47" s="42" t="s">
        <v>49</v>
      </c>
      <c r="E47" s="45" t="s">
        <v>70</v>
      </c>
      <c r="F47" s="46" t="s">
        <v>39</v>
      </c>
      <c r="G47" s="47" t="s">
        <v>55</v>
      </c>
      <c r="H47" s="48"/>
      <c r="I47" s="46" t="s">
        <v>39</v>
      </c>
      <c r="J47" s="49"/>
    </row>
    <row r="48" spans="1:10" ht="14" thickBot="1" x14ac:dyDescent="0.2">
      <c r="A48" s="77">
        <v>36</v>
      </c>
      <c r="B48" s="78">
        <v>42543</v>
      </c>
      <c r="C48" s="79" t="s">
        <v>42</v>
      </c>
      <c r="D48" s="77" t="s">
        <v>49</v>
      </c>
      <c r="E48" s="80" t="s">
        <v>48</v>
      </c>
      <c r="F48" s="81" t="s">
        <v>39</v>
      </c>
      <c r="G48" s="82" t="s">
        <v>69</v>
      </c>
      <c r="H48" s="83"/>
      <c r="I48" s="81" t="s">
        <v>39</v>
      </c>
      <c r="J48" s="84"/>
    </row>
    <row r="49" spans="1:10" x14ac:dyDescent="0.15">
      <c r="A49" s="42">
        <v>37</v>
      </c>
      <c r="B49" s="43">
        <v>42546</v>
      </c>
      <c r="C49" s="44" t="s">
        <v>41</v>
      </c>
      <c r="D49" s="70">
        <v>0.125</v>
      </c>
      <c r="E49" s="45" t="str">
        <f>Grupper!$C$8</f>
        <v>Schweiz</v>
      </c>
      <c r="F49" s="46" t="s">
        <v>39</v>
      </c>
      <c r="G49" s="47" t="str">
        <f>Grupper!$C$26</f>
        <v>Tyskland</v>
      </c>
      <c r="H49" s="48"/>
      <c r="I49" s="46" t="s">
        <v>39</v>
      </c>
      <c r="J49" s="49"/>
    </row>
    <row r="50" spans="1:10" x14ac:dyDescent="0.15">
      <c r="A50" s="42">
        <v>38</v>
      </c>
      <c r="B50" s="43">
        <v>42546</v>
      </c>
      <c r="C50" s="44" t="s">
        <v>37</v>
      </c>
      <c r="D50" s="70">
        <v>0.125</v>
      </c>
      <c r="E50" s="45" t="str">
        <f>Grupper!$C$16</f>
        <v>England</v>
      </c>
      <c r="F50" s="46" t="s">
        <v>39</v>
      </c>
      <c r="G50" s="47"/>
      <c r="H50" s="48"/>
      <c r="I50" s="46" t="s">
        <v>39</v>
      </c>
      <c r="J50" s="49"/>
    </row>
    <row r="51" spans="1:10" x14ac:dyDescent="0.15">
      <c r="A51" s="42">
        <v>39</v>
      </c>
      <c r="B51" s="43">
        <v>42546</v>
      </c>
      <c r="C51" s="44" t="s">
        <v>41</v>
      </c>
      <c r="D51" s="70">
        <v>0.125</v>
      </c>
      <c r="E51" s="45" t="str">
        <f>Grupper!$C$34</f>
        <v>Turkiet</v>
      </c>
      <c r="F51" s="46" t="s">
        <v>39</v>
      </c>
      <c r="G51" s="47"/>
      <c r="H51" s="48"/>
      <c r="I51" s="46" t="s">
        <v>39</v>
      </c>
      <c r="J51" s="49"/>
    </row>
    <row r="52" spans="1:10" x14ac:dyDescent="0.15">
      <c r="A52" s="42">
        <v>40</v>
      </c>
      <c r="B52" s="43">
        <v>42547</v>
      </c>
      <c r="C52" s="44" t="s">
        <v>37</v>
      </c>
      <c r="D52" s="70">
        <v>0.125</v>
      </c>
      <c r="E52" s="45" t="str">
        <f>Grupper!$C$7</f>
        <v>Rumänien</v>
      </c>
      <c r="F52" s="46" t="s">
        <v>39</v>
      </c>
      <c r="G52" s="47"/>
      <c r="H52" s="48"/>
      <c r="I52" s="46" t="s">
        <v>39</v>
      </c>
      <c r="J52" s="49"/>
    </row>
    <row r="53" spans="1:10" x14ac:dyDescent="0.15">
      <c r="A53" s="42">
        <v>41</v>
      </c>
      <c r="B53" s="43">
        <v>42547</v>
      </c>
      <c r="C53" s="44" t="s">
        <v>41</v>
      </c>
      <c r="D53" s="70">
        <v>0.125</v>
      </c>
      <c r="E53" s="45" t="str">
        <f>Grupper!$C$25</f>
        <v>Polen</v>
      </c>
      <c r="F53" s="46" t="s">
        <v>39</v>
      </c>
      <c r="G53" s="47"/>
      <c r="H53" s="48"/>
      <c r="I53" s="46" t="s">
        <v>39</v>
      </c>
      <c r="J53" s="49"/>
    </row>
    <row r="54" spans="1:10" x14ac:dyDescent="0.15">
      <c r="A54" s="42">
        <v>42</v>
      </c>
      <c r="B54" s="43">
        <v>42547</v>
      </c>
      <c r="C54" s="44" t="s">
        <v>37</v>
      </c>
      <c r="D54" s="70">
        <v>0.125</v>
      </c>
      <c r="E54" s="45" t="str">
        <f>Grupper!$C$52</f>
        <v>Österrike</v>
      </c>
      <c r="F54" s="46" t="s">
        <v>39</v>
      </c>
      <c r="G54" s="47" t="str">
        <f>Grupper!$C$44</f>
        <v>Italien</v>
      </c>
      <c r="H54" s="48"/>
      <c r="I54" s="46" t="s">
        <v>39</v>
      </c>
      <c r="J54" s="49"/>
    </row>
    <row r="55" spans="1:10" x14ac:dyDescent="0.15">
      <c r="A55" s="42">
        <v>43</v>
      </c>
      <c r="B55" s="43">
        <v>42548</v>
      </c>
      <c r="C55" s="44" t="s">
        <v>41</v>
      </c>
      <c r="D55" s="70">
        <v>0.125</v>
      </c>
      <c r="E55" s="45" t="str">
        <f>Grupper!$C$43</f>
        <v>Irland</v>
      </c>
      <c r="F55" s="46" t="s">
        <v>39</v>
      </c>
      <c r="G55" s="47" t="str">
        <f>Grupper!$C$35</f>
        <v>Kroatien</v>
      </c>
      <c r="H55" s="48"/>
      <c r="I55" s="46" t="s">
        <v>39</v>
      </c>
      <c r="J55" s="49"/>
    </row>
    <row r="56" spans="1:10" x14ac:dyDescent="0.15">
      <c r="A56" s="42">
        <v>44</v>
      </c>
      <c r="B56" s="43">
        <v>42548</v>
      </c>
      <c r="C56" s="44" t="s">
        <v>37</v>
      </c>
      <c r="D56" s="70">
        <v>0.125</v>
      </c>
      <c r="E56" s="45" t="str">
        <f>Grupper!$C$17</f>
        <v>Slovakien</v>
      </c>
      <c r="F56" s="46" t="s">
        <v>39</v>
      </c>
      <c r="G56" s="47" t="str">
        <f>Grupper!$C$53</f>
        <v>Island</v>
      </c>
      <c r="H56" s="48"/>
      <c r="I56" s="46" t="s">
        <v>39</v>
      </c>
      <c r="J56" s="49"/>
    </row>
    <row r="57" spans="1:10" x14ac:dyDescent="0.15">
      <c r="A57" s="42">
        <v>45</v>
      </c>
      <c r="B57" s="43">
        <v>42551</v>
      </c>
      <c r="C57" s="44" t="s">
        <v>37</v>
      </c>
      <c r="D57" s="70">
        <v>0.25</v>
      </c>
      <c r="E57" s="45" t="str">
        <f>IF(J49="","",IF(H49&gt;J49,E49,G49))</f>
        <v/>
      </c>
      <c r="F57" s="46" t="s">
        <v>39</v>
      </c>
      <c r="G57" s="47" t="str">
        <f>IF(J51="","",IF(H51&gt;J51,E51,G51))</f>
        <v/>
      </c>
      <c r="H57" s="48"/>
      <c r="I57" s="46" t="s">
        <v>39</v>
      </c>
      <c r="J57" s="49"/>
    </row>
    <row r="58" spans="1:10" x14ac:dyDescent="0.15">
      <c r="A58" s="42">
        <v>46</v>
      </c>
      <c r="B58" s="43">
        <v>42552</v>
      </c>
      <c r="C58" s="44" t="s">
        <v>41</v>
      </c>
      <c r="D58" s="70">
        <v>0.25</v>
      </c>
      <c r="E58" s="45" t="str">
        <f>IF(J50="","",IF(H50&gt;J50,E50,G50))</f>
        <v/>
      </c>
      <c r="F58" s="46" t="s">
        <v>39</v>
      </c>
      <c r="G58" s="47" t="str">
        <f>IF(J54="","",IF(H54&gt;J54,E54,G54))</f>
        <v/>
      </c>
      <c r="H58" s="48"/>
      <c r="I58" s="46" t="s">
        <v>39</v>
      </c>
      <c r="J58" s="49"/>
    </row>
    <row r="59" spans="1:10" x14ac:dyDescent="0.15">
      <c r="A59" s="42">
        <v>47</v>
      </c>
      <c r="B59" s="43">
        <v>42553</v>
      </c>
      <c r="C59" s="44" t="s">
        <v>37</v>
      </c>
      <c r="D59" s="70">
        <v>0.25</v>
      </c>
      <c r="E59" s="45" t="str">
        <f>IF(J53="","",IF(H53&gt;J53,E53,G53))</f>
        <v/>
      </c>
      <c r="F59" s="46" t="s">
        <v>39</v>
      </c>
      <c r="G59" s="47" t="str">
        <f>IF(J55="","",IF(H55&gt;J55,E55,G55))</f>
        <v/>
      </c>
      <c r="H59" s="48"/>
      <c r="I59" s="46" t="s">
        <v>39</v>
      </c>
      <c r="J59" s="49"/>
    </row>
    <row r="60" spans="1:10" x14ac:dyDescent="0.15">
      <c r="A60" s="42">
        <v>48</v>
      </c>
      <c r="B60" s="43">
        <v>42554</v>
      </c>
      <c r="C60" s="44" t="s">
        <v>41</v>
      </c>
      <c r="D60" s="70">
        <v>0.25</v>
      </c>
      <c r="E60" s="45" t="str">
        <f>IF(J52="","",IF(H52&gt;J52,E52,G52))</f>
        <v/>
      </c>
      <c r="F60" s="46" t="s">
        <v>39</v>
      </c>
      <c r="G60" s="47" t="str">
        <f>IF(J56="","",IF(H56&gt;J56,E56,G56))</f>
        <v/>
      </c>
      <c r="H60" s="48"/>
      <c r="I60" s="46" t="s">
        <v>39</v>
      </c>
      <c r="J60" s="49"/>
    </row>
    <row r="61" spans="1:10" x14ac:dyDescent="0.15">
      <c r="A61" s="42">
        <v>49</v>
      </c>
      <c r="B61" s="43">
        <v>42557</v>
      </c>
      <c r="C61" s="44" t="s">
        <v>37</v>
      </c>
      <c r="D61" s="70" t="s">
        <v>57</v>
      </c>
      <c r="E61" s="45" t="str">
        <f>IF(J57="","",IF(H57&gt;J57,E57,G57))</f>
        <v/>
      </c>
      <c r="F61" s="46" t="s">
        <v>39</v>
      </c>
      <c r="G61" s="47" t="str">
        <f>IF(J58="","",IF(H58&gt;J58,E58,G58))</f>
        <v/>
      </c>
      <c r="H61" s="48"/>
      <c r="I61" s="46" t="s">
        <v>39</v>
      </c>
      <c r="J61" s="49"/>
    </row>
    <row r="62" spans="1:10" x14ac:dyDescent="0.15">
      <c r="A62" s="42">
        <v>50</v>
      </c>
      <c r="B62" s="43">
        <v>42558</v>
      </c>
      <c r="C62" s="44" t="s">
        <v>37</v>
      </c>
      <c r="D62" s="70" t="s">
        <v>58</v>
      </c>
      <c r="E62" s="45" t="str">
        <f>IF(J59="","",IF(H59&gt;J59,E59,G59))</f>
        <v/>
      </c>
      <c r="F62" s="46" t="s">
        <v>39</v>
      </c>
      <c r="G62" s="47" t="str">
        <f>IF(J60="","",IF(H60&gt;J60,E60,G60))</f>
        <v/>
      </c>
      <c r="H62" s="48"/>
      <c r="I62" s="46" t="s">
        <v>39</v>
      </c>
      <c r="J62" s="49"/>
    </row>
    <row r="63" spans="1:10" x14ac:dyDescent="0.15">
      <c r="A63" s="42">
        <v>51</v>
      </c>
      <c r="B63" s="43">
        <v>42561</v>
      </c>
      <c r="C63" s="44" t="s">
        <v>42</v>
      </c>
      <c r="D63" s="70" t="s">
        <v>23</v>
      </c>
      <c r="E63" s="45" t="str">
        <f>IF(J61="","",IF(H61&gt;J61,E61,G61))</f>
        <v/>
      </c>
      <c r="F63" s="46" t="s">
        <v>39</v>
      </c>
      <c r="G63" s="47" t="str">
        <f>IF(J62="","",IF(H62&gt;J62,E62,G62))</f>
        <v/>
      </c>
      <c r="H63" s="48"/>
      <c r="I63" s="46" t="s">
        <v>39</v>
      </c>
      <c r="J63" s="49"/>
    </row>
    <row r="75" spans="1:1" x14ac:dyDescent="0.15">
      <c r="A75" s="51"/>
    </row>
    <row r="76" spans="1:1" x14ac:dyDescent="0.15">
      <c r="A76" s="51"/>
    </row>
    <row r="77" spans="1:1" x14ac:dyDescent="0.15">
      <c r="A77" s="51"/>
    </row>
  </sheetData>
  <mergeCells count="3">
    <mergeCell ref="E12:G12"/>
    <mergeCell ref="H12:J12"/>
    <mergeCell ref="K12:X12"/>
  </mergeCells>
  <phoneticPr fontId="15" type="noConversion"/>
  <conditionalFormatting sqref="A14:B14 B15:B16 D14:G14 I14:J14">
    <cfRule type="expression" dxfId="386" priority="49">
      <formula>$H14&lt;&gt;""</formula>
    </cfRule>
  </conditionalFormatting>
  <conditionalFormatting sqref="A15 D15:G15 I15:J15">
    <cfRule type="expression" dxfId="385" priority="48">
      <formula>$H15&lt;&gt;""</formula>
    </cfRule>
  </conditionalFormatting>
  <conditionalFormatting sqref="A16 D16:G16 I16:J16">
    <cfRule type="expression" dxfId="384" priority="47">
      <formula>$H16&lt;&gt;""</formula>
    </cfRule>
  </conditionalFormatting>
  <conditionalFormatting sqref="A17:G17 B18:B48 C18 I17:J17">
    <cfRule type="expression" dxfId="383" priority="46">
      <formula>$H17&lt;&gt;""</formula>
    </cfRule>
  </conditionalFormatting>
  <conditionalFormatting sqref="A18 D18:G18 I18:J18">
    <cfRule type="expression" dxfId="382" priority="45">
      <formula>$H18&lt;&gt;""</formula>
    </cfRule>
  </conditionalFormatting>
  <conditionalFormatting sqref="A19 C19:G19 C20:C22 I19:J19">
    <cfRule type="expression" dxfId="381" priority="44">
      <formula>$H19&lt;&gt;""</formula>
    </cfRule>
  </conditionalFormatting>
  <conditionalFormatting sqref="A20 D20:G20 I20:J20">
    <cfRule type="expression" dxfId="380" priority="43">
      <formula>$H20&lt;&gt;""</formula>
    </cfRule>
  </conditionalFormatting>
  <conditionalFormatting sqref="A21 D21:G21 I21:J21">
    <cfRule type="expression" dxfId="379" priority="42">
      <formula>$H21&lt;&gt;""</formula>
    </cfRule>
  </conditionalFormatting>
  <conditionalFormatting sqref="A22 D22:G22 I22:J22">
    <cfRule type="expression" dxfId="378" priority="41">
      <formula>$H22&lt;&gt;""</formula>
    </cfRule>
  </conditionalFormatting>
  <conditionalFormatting sqref="A23 C23:G23 I23:J23">
    <cfRule type="expression" dxfId="377" priority="40">
      <formula>$H23&lt;&gt;""</formula>
    </cfRule>
  </conditionalFormatting>
  <conditionalFormatting sqref="A24 C24:G24 I24:J24">
    <cfRule type="expression" dxfId="376" priority="39">
      <formula>$H24&lt;&gt;""</formula>
    </cfRule>
  </conditionalFormatting>
  <conditionalFormatting sqref="A25 C25:G25 I25:J25">
    <cfRule type="expression" dxfId="375" priority="38">
      <formula>$H25&lt;&gt;""</formula>
    </cfRule>
  </conditionalFormatting>
  <conditionalFormatting sqref="A26 C26:G26 I26:J26">
    <cfRule type="expression" dxfId="374" priority="37">
      <formula>$H26&lt;&gt;""</formula>
    </cfRule>
  </conditionalFormatting>
  <conditionalFormatting sqref="A27 C27:G27 I27:J27">
    <cfRule type="expression" dxfId="373" priority="36">
      <formula>$H27&lt;&gt;""</formula>
    </cfRule>
  </conditionalFormatting>
  <conditionalFormatting sqref="A28 C28:G28 I28:J28">
    <cfRule type="expression" dxfId="372" priority="35">
      <formula>$H28&lt;&gt;""</formula>
    </cfRule>
  </conditionalFormatting>
  <conditionalFormatting sqref="A29 C29:G29 I29:J29">
    <cfRule type="expression" dxfId="371" priority="34">
      <formula>$H29&lt;&gt;""</formula>
    </cfRule>
  </conditionalFormatting>
  <conditionalFormatting sqref="A30 C30:G30 I30:J30">
    <cfRule type="expression" dxfId="370" priority="33">
      <formula>$H30&lt;&gt;""</formula>
    </cfRule>
  </conditionalFormatting>
  <conditionalFormatting sqref="A31 C31:G31 I31:J31">
    <cfRule type="expression" dxfId="369" priority="32">
      <formula>$H31&lt;&gt;""</formula>
    </cfRule>
  </conditionalFormatting>
  <conditionalFormatting sqref="A32 C32:G32 I32:J32">
    <cfRule type="expression" dxfId="368" priority="31">
      <formula>$H32&lt;&gt;""</formula>
    </cfRule>
  </conditionalFormatting>
  <conditionalFormatting sqref="A33 C33:G33 I33:J33">
    <cfRule type="expression" dxfId="367" priority="30">
      <formula>$H33&lt;&gt;""</formula>
    </cfRule>
  </conditionalFormatting>
  <conditionalFormatting sqref="A34 C34:G34 I34:J34">
    <cfRule type="expression" dxfId="366" priority="29">
      <formula>$H34&lt;&gt;""</formula>
    </cfRule>
  </conditionalFormatting>
  <conditionalFormatting sqref="A35 C35:G35 I35:J35">
    <cfRule type="expression" dxfId="365" priority="28">
      <formula>$H35&lt;&gt;""</formula>
    </cfRule>
  </conditionalFormatting>
  <conditionalFormatting sqref="A36 C36:G36 I36:J36">
    <cfRule type="expression" dxfId="364" priority="27">
      <formula>$H36&lt;&gt;""</formula>
    </cfRule>
  </conditionalFormatting>
  <conditionalFormatting sqref="A37 C37:G37 I37:J37">
    <cfRule type="expression" dxfId="363" priority="26">
      <formula>$H37&lt;&gt;""</formula>
    </cfRule>
  </conditionalFormatting>
  <conditionalFormatting sqref="A38 C38:G38 I38:J38">
    <cfRule type="expression" dxfId="362" priority="25">
      <formula>$H38&lt;&gt;""</formula>
    </cfRule>
  </conditionalFormatting>
  <conditionalFormatting sqref="A39 C39:G39 I39:J39">
    <cfRule type="expression" dxfId="361" priority="24">
      <formula>$H39&lt;&gt;""</formula>
    </cfRule>
  </conditionalFormatting>
  <conditionalFormatting sqref="A40 C40:G40 I40:J40">
    <cfRule type="expression" dxfId="360" priority="23">
      <formula>$H40&lt;&gt;""</formula>
    </cfRule>
  </conditionalFormatting>
  <conditionalFormatting sqref="A41 C41:G41 I41:J41">
    <cfRule type="expression" dxfId="359" priority="22">
      <formula>$H41&lt;&gt;""</formula>
    </cfRule>
  </conditionalFormatting>
  <conditionalFormatting sqref="A42 C42:G42 I42:J42">
    <cfRule type="expression" dxfId="358" priority="21">
      <formula>$H42&lt;&gt;""</formula>
    </cfRule>
  </conditionalFormatting>
  <conditionalFormatting sqref="A43 C43:G43 I43:J43">
    <cfRule type="expression" dxfId="357" priority="20">
      <formula>$H43&lt;&gt;""</formula>
    </cfRule>
  </conditionalFormatting>
  <conditionalFormatting sqref="A44 C44:G44 I44:J44">
    <cfRule type="expression" dxfId="356" priority="19">
      <formula>$H44&lt;&gt;""</formula>
    </cfRule>
  </conditionalFormatting>
  <conditionalFormatting sqref="A45 C45:G45 I45:J45">
    <cfRule type="expression" dxfId="355" priority="18">
      <formula>$H45&lt;&gt;""</formula>
    </cfRule>
  </conditionalFormatting>
  <conditionalFormatting sqref="A46 C46:G46 I46:J46">
    <cfRule type="expression" dxfId="354" priority="17">
      <formula>$H46&lt;&gt;""</formula>
    </cfRule>
  </conditionalFormatting>
  <conditionalFormatting sqref="A47 C47:G47 I47:J47">
    <cfRule type="expression" dxfId="353" priority="16">
      <formula>$H47&lt;&gt;""</formula>
    </cfRule>
  </conditionalFormatting>
  <conditionalFormatting sqref="A48 C48:G48 I48:J48">
    <cfRule type="expression" dxfId="352" priority="15">
      <formula>$H48&lt;&gt;""</formula>
    </cfRule>
  </conditionalFormatting>
  <conditionalFormatting sqref="A13:J13 C14:C16 H14:H47">
    <cfRule type="expression" dxfId="351" priority="2">
      <formula>$H13&lt;&gt;""</formula>
    </cfRule>
  </conditionalFormatting>
  <conditionalFormatting sqref="H48">
    <cfRule type="expression" dxfId="350" priority="1">
      <formula>$H48&lt;&gt;""</formula>
    </cfRule>
  </conditionalFormatting>
  <pageMargins left="0.7" right="0.7" top="0.75" bottom="0.75" header="0.3" footer="0.3"/>
  <pageSetup paperSize="9" orientation="landscape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ägg till namn">
              <controlPr defaultSize="0" autoFill="0" autoPict="0" macro="[0]!Add_player">
                <anchor moveWithCells="1" sizeWithCells="1">
                  <from>
                    <xdr:col>6</xdr:col>
                    <xdr:colOff>698500</xdr:colOff>
                    <xdr:row>3</xdr:row>
                    <xdr:rowOff>127000</xdr:rowOff>
                  </from>
                  <to>
                    <xdr:col>9</xdr:col>
                    <xdr:colOff>241300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 enableFormatConditionsCalculation="0">
    <pageSetUpPr autoPageBreaks="0"/>
  </sheetPr>
  <dimension ref="B3:T69"/>
  <sheetViews>
    <sheetView workbookViewId="0">
      <selection activeCell="B52" sqref="B52:T55"/>
    </sheetView>
  </sheetViews>
  <sheetFormatPr baseColWidth="10" defaultColWidth="11.5" defaultRowHeight="13" x14ac:dyDescent="0.15"/>
  <cols>
    <col min="1" max="1" width="11.5" style="54"/>
    <col min="2" max="2" width="11.83203125" style="54" customWidth="1"/>
    <col min="3" max="3" width="13.6640625" style="54" bestFit="1" customWidth="1"/>
    <col min="4" max="4" width="5.6640625" style="54" customWidth="1"/>
    <col min="5" max="5" width="6.1640625" style="54" customWidth="1"/>
    <col min="6" max="6" width="6.33203125" style="54" customWidth="1"/>
    <col min="7" max="7" width="8.6640625" style="54" customWidth="1"/>
    <col min="8" max="8" width="8.83203125" style="54" customWidth="1"/>
    <col min="9" max="9" width="5" style="54" customWidth="1"/>
    <col min="10" max="10" width="4.6640625" style="54" customWidth="1"/>
    <col min="11" max="11" width="5" style="54" customWidth="1"/>
    <col min="12" max="12" width="6" style="54" customWidth="1"/>
    <col min="13" max="13" width="5.83203125" style="54" customWidth="1"/>
    <col min="14" max="14" width="6.1640625" style="54" customWidth="1"/>
    <col min="15" max="15" width="6" style="54" customWidth="1"/>
    <col min="16" max="16" width="5.83203125" style="54" customWidth="1"/>
    <col min="17" max="17" width="6.1640625" style="54" customWidth="1"/>
    <col min="18" max="19" width="7.33203125" style="54" customWidth="1"/>
    <col min="20" max="20" width="8" style="54" customWidth="1"/>
    <col min="21" max="16384" width="11.5" style="54"/>
  </cols>
  <sheetData>
    <row r="3" spans="2:20" ht="13" customHeight="1" x14ac:dyDescent="0.15">
      <c r="B3" s="98" t="s">
        <v>74</v>
      </c>
      <c r="C3" s="98"/>
    </row>
    <row r="4" spans="2:20" ht="13" customHeight="1" x14ac:dyDescent="0.15">
      <c r="B4" s="98"/>
      <c r="C4" s="98"/>
    </row>
    <row r="5" spans="2:20" x14ac:dyDescent="0.15">
      <c r="D5" s="56" t="s">
        <v>75</v>
      </c>
      <c r="E5" s="56"/>
      <c r="F5" s="56"/>
      <c r="G5" s="56"/>
      <c r="H5" s="56"/>
      <c r="I5" s="56"/>
      <c r="J5" s="56"/>
      <c r="K5" s="56"/>
      <c r="L5" s="56" t="s">
        <v>76</v>
      </c>
      <c r="M5" s="56"/>
      <c r="N5" s="56"/>
      <c r="O5" s="56" t="s">
        <v>77</v>
      </c>
      <c r="P5" s="56"/>
      <c r="Q5" s="56"/>
    </row>
    <row r="6" spans="2:20" x14ac:dyDescent="0.15">
      <c r="B6" s="53" t="s">
        <v>130</v>
      </c>
      <c r="C6" s="53" t="s">
        <v>34</v>
      </c>
      <c r="D6" s="53" t="s">
        <v>126</v>
      </c>
      <c r="E6" s="53" t="s">
        <v>127</v>
      </c>
      <c r="F6" s="53" t="s">
        <v>128</v>
      </c>
      <c r="G6" s="53" t="s">
        <v>129</v>
      </c>
      <c r="H6" s="53" t="s">
        <v>79</v>
      </c>
      <c r="I6" s="53" t="s">
        <v>131</v>
      </c>
      <c r="J6" s="53" t="s">
        <v>52</v>
      </c>
      <c r="K6" s="53" t="s">
        <v>132</v>
      </c>
      <c r="L6" s="53" t="s">
        <v>120</v>
      </c>
      <c r="M6" s="53" t="s">
        <v>121</v>
      </c>
      <c r="N6" s="53" t="s">
        <v>122</v>
      </c>
      <c r="O6" s="53" t="s">
        <v>123</v>
      </c>
      <c r="P6" s="53" t="s">
        <v>124</v>
      </c>
      <c r="Q6" s="53" t="s">
        <v>125</v>
      </c>
      <c r="R6" s="53" t="s">
        <v>81</v>
      </c>
      <c r="S6" s="53" t="s">
        <v>82</v>
      </c>
      <c r="T6" s="53" t="s">
        <v>80</v>
      </c>
    </row>
    <row r="7" spans="2:20" ht="16" x14ac:dyDescent="0.2">
      <c r="B7" s="54">
        <f>SUM(D7:G7)</f>
        <v>1</v>
      </c>
      <c r="C7" s="54" t="s">
        <v>60</v>
      </c>
      <c r="D7" s="54">
        <f>RANK(H7,$H$7:$H$10)</f>
        <v>1</v>
      </c>
      <c r="E7" s="54">
        <f>SUMPRODUCT(($D$7:$D$10=$D7)*($T$7:$T$10&gt;T7))</f>
        <v>0</v>
      </c>
      <c r="F7" s="54">
        <f>SUMPRODUCT(($D$7:$D$10=$D7)*($E$7:$E$10=$E7)*($R$7:$R$10&gt;R7))</f>
        <v>0</v>
      </c>
      <c r="H7" s="52">
        <f>I7*3+K7</f>
        <v>9</v>
      </c>
      <c r="I7" s="54">
        <f>L7+O7</f>
        <v>3</v>
      </c>
      <c r="J7" s="54">
        <f>M7+P7</f>
        <v>0</v>
      </c>
      <c r="K7" s="54">
        <f>N7+Q7</f>
        <v>0</v>
      </c>
      <c r="L7" s="54">
        <f>SUMPRODUCT((Resultat!$E$13:$E$48=C7)*(Resultat!$H$13:$H$48&gt;Resultat!$J$13:$J$48)*(Resultat!$H$13:$H$48&lt;&gt;""))</f>
        <v>2</v>
      </c>
      <c r="M7" s="54">
        <f>SUMPRODUCT((Resultat!$E$13:$E$48=C7)*(Resultat!$H$13:$H$48&lt;Resultat!$J$13:$J$48)*(Resultat!$H$13:$H$48&lt;&gt;""))</f>
        <v>0</v>
      </c>
      <c r="N7" s="54">
        <f>SUMPRODUCT((Resultat!$E$13:$E$48=C7)*(Resultat!$H$13:$H$48=Resultat!$J$13:$J$48)*(Resultat!$H$13:$H$48&lt;&gt;""))</f>
        <v>0</v>
      </c>
      <c r="O7" s="54">
        <f>SUMPRODUCT((Resultat!$G$13:$G$48=C7)*(Resultat!$H$13:$H$48&lt;Resultat!$J$13:$J$48)*(Resultat!$H$13:$H$48&lt;&gt;""))</f>
        <v>1</v>
      </c>
      <c r="P7" s="54">
        <f>SUMPRODUCT((Resultat!$G$13:$G$48=C7)*(Resultat!$H$13:$H$48&gt;Resultat!$J$13:$J$48)*(Resultat!$H$13:$H$48&lt;&gt;""))</f>
        <v>0</v>
      </c>
      <c r="Q7" s="54">
        <f>SUMPRODUCT((Resultat!$G$13:$G$48=C7)*(Resultat!$H$13:$H$48=Resultat!$J$13:$J$48)*(Resultat!$H$13:$H$48&lt;&gt;""))</f>
        <v>0</v>
      </c>
      <c r="R7" s="54">
        <f>SUMPRODUCT((Resultat!$E$13:$E$48=C7)*(Resultat!$H$13:$H$48))+SUMPRODUCT((Resultat!$G$13:$G$48=C7)*(Resultat!$J$13:$J$48))</f>
        <v>9</v>
      </c>
      <c r="S7" s="54">
        <f>SUMPRODUCT((Resultat!$E$13:$E$48=C7)*(Resultat!$J$13:$J$48))+SUMPRODUCT((Resultat!$G$13:$G$48=C7)*(Resultat!$H$13:$H$48))</f>
        <v>5</v>
      </c>
      <c r="T7" s="54">
        <f>R7-S7</f>
        <v>4</v>
      </c>
    </row>
    <row r="8" spans="2:20" ht="16" x14ac:dyDescent="0.2">
      <c r="B8" s="54">
        <f>SUM(D8:G8)</f>
        <v>2</v>
      </c>
      <c r="C8" s="54" t="s">
        <v>50</v>
      </c>
      <c r="D8" s="54">
        <f>RANK(H8,$H$7:$H$10)</f>
        <v>2</v>
      </c>
      <c r="E8" s="54">
        <f>SUMPRODUCT(($D$7:$D$10=$D8)*($T$7:$T$10&gt;T8))</f>
        <v>0</v>
      </c>
      <c r="F8" s="54">
        <f>SUMPRODUCT(($D$7:$D$10=$D8)*($E$7:$E$10=$E8)*($R$7:$R$10&gt;R8))</f>
        <v>0</v>
      </c>
      <c r="H8" s="52">
        <f>I8*3+K8</f>
        <v>3</v>
      </c>
      <c r="I8" s="54">
        <f>L8+O8</f>
        <v>1</v>
      </c>
      <c r="J8" s="54">
        <f>M8+P8</f>
        <v>2</v>
      </c>
      <c r="K8" s="54">
        <f>N8+Q8</f>
        <v>0</v>
      </c>
      <c r="L8" s="54">
        <f>SUMPRODUCT((Resultat!$E$13:$E$48=C8)*(Resultat!$H$13:$H$48&gt;Resultat!$J$13:$J$48)*(Resultat!$H$13:$H$48&lt;&gt;""))</f>
        <v>1</v>
      </c>
      <c r="M8" s="54">
        <f>SUMPRODUCT((Resultat!$E$13:$E$48=C8)*(Resultat!$H$13:$H$48&lt;Resultat!$J$13:$J$48)*(Resultat!$H$13:$H$48&lt;&gt;""))</f>
        <v>0</v>
      </c>
      <c r="N8" s="54">
        <f>SUMPRODUCT((Resultat!$E$13:$E$48=C8)*(Resultat!$H$13:$H$48=Resultat!$J$13:$J$48)*(Resultat!$H$13:$H$48&lt;&gt;""))</f>
        <v>0</v>
      </c>
      <c r="O8" s="54">
        <f>SUMPRODUCT((Resultat!$G$13:$G$48=C8)*(Resultat!$H$13:$H$48&lt;Resultat!$J$13:$J$48)*(Resultat!$H$13:$H$48&lt;&gt;""))</f>
        <v>0</v>
      </c>
      <c r="P8" s="54">
        <f>SUMPRODUCT((Resultat!$G$13:$G$48=C8)*(Resultat!$H$13:$H$48&gt;Resultat!$J$13:$J$48)*(Resultat!$H$13:$H$48&lt;&gt;""))</f>
        <v>2</v>
      </c>
      <c r="Q8" s="54">
        <f>SUMPRODUCT((Resultat!$G$13:$G$48=C8)*(Resultat!$H$13:$H$48=Resultat!$J$13:$J$48)*(Resultat!$H$13:$H$48&lt;&gt;""))</f>
        <v>0</v>
      </c>
      <c r="R8" s="54">
        <f>SUMPRODUCT((Resultat!$E$13:$E$48=C8)*(Resultat!$H$13:$H$48))+SUMPRODUCT((Resultat!$G$13:$G$48=C8)*(Resultat!$J$13:$J$48))</f>
        <v>4</v>
      </c>
      <c r="S8" s="54">
        <f>SUMPRODUCT((Resultat!$E$13:$E$48=C8)*(Resultat!$J$13:$J$48))+SUMPRODUCT((Resultat!$G$13:$G$48=C8)*(Resultat!$H$13:$H$48))</f>
        <v>4</v>
      </c>
      <c r="T8" s="54">
        <f>R8-S8</f>
        <v>0</v>
      </c>
    </row>
    <row r="9" spans="2:20" ht="16" x14ac:dyDescent="0.2">
      <c r="B9" s="54">
        <f>SUM(D9:G9)</f>
        <v>3</v>
      </c>
      <c r="C9" s="54" t="s">
        <v>61</v>
      </c>
      <c r="D9" s="54">
        <f>RANK(H9,$H$7:$H$10)</f>
        <v>2</v>
      </c>
      <c r="E9" s="54">
        <f>SUMPRODUCT(($D$7:$D$10=$D9)*($T$7:$T$10&gt;T9))</f>
        <v>1</v>
      </c>
      <c r="F9" s="54">
        <f>SUMPRODUCT(($D$7:$D$10=$D9)*($E$7:$E$10=$E9)*($R$7:$R$10&gt;R9))</f>
        <v>0</v>
      </c>
      <c r="H9" s="52">
        <f>I9*3+K9</f>
        <v>3</v>
      </c>
      <c r="I9" s="54">
        <f>L9+O9</f>
        <v>1</v>
      </c>
      <c r="J9" s="54">
        <f>M9+P9</f>
        <v>2</v>
      </c>
      <c r="K9" s="54">
        <f>N9+Q9</f>
        <v>0</v>
      </c>
      <c r="L9" s="54">
        <f>SUMPRODUCT((Resultat!$E$13:$E$48=C9)*(Resultat!$H$13:$H$48&gt;Resultat!$J$13:$J$48)*(Resultat!$H$13:$H$48&lt;&gt;""))</f>
        <v>1</v>
      </c>
      <c r="M9" s="54">
        <f>SUMPRODUCT((Resultat!$E$13:$E$48=C9)*(Resultat!$H$13:$H$48&lt;Resultat!$J$13:$J$48)*(Resultat!$H$13:$H$48&lt;&gt;""))</f>
        <v>0</v>
      </c>
      <c r="N9" s="54">
        <f>SUMPRODUCT((Resultat!$E$13:$E$48=C9)*(Resultat!$H$13:$H$48=Resultat!$J$13:$J$48)*(Resultat!$H$13:$H$48&lt;&gt;""))</f>
        <v>0</v>
      </c>
      <c r="O9" s="54">
        <f>SUMPRODUCT((Resultat!$G$13:$G$48=C9)*(Resultat!$H$13:$H$48&lt;Resultat!$J$13:$J$48)*(Resultat!$H$13:$H$48&lt;&gt;""))</f>
        <v>0</v>
      </c>
      <c r="P9" s="54">
        <f>SUMPRODUCT((Resultat!$G$13:$G$48=C9)*(Resultat!$H$13:$H$48&gt;Resultat!$J$13:$J$48)*(Resultat!$H$13:$H$48&lt;&gt;""))</f>
        <v>2</v>
      </c>
      <c r="Q9" s="54">
        <f>SUMPRODUCT((Resultat!$G$13:$G$48=C9)*(Resultat!$H$13:$H$48=Resultat!$J$13:$J$48)*(Resultat!$H$13:$H$48&lt;&gt;""))</f>
        <v>0</v>
      </c>
      <c r="R9" s="54">
        <f>SUMPRODUCT((Resultat!$E$13:$E$48=C9)*(Resultat!$H$13:$H$48))+SUMPRODUCT((Resultat!$G$13:$G$48=C9)*(Resultat!$J$13:$J$48))</f>
        <v>3</v>
      </c>
      <c r="S9" s="54">
        <f>SUMPRODUCT((Resultat!$E$13:$E$48=C9)*(Resultat!$J$13:$J$48))+SUMPRODUCT((Resultat!$G$13:$G$48=C9)*(Resultat!$H$13:$H$48))</f>
        <v>4</v>
      </c>
      <c r="T9" s="54">
        <f>R9-S9</f>
        <v>-1</v>
      </c>
    </row>
    <row r="10" spans="2:20" ht="16" x14ac:dyDescent="0.2">
      <c r="B10" s="54">
        <f>SUM(D10:G10)</f>
        <v>4</v>
      </c>
      <c r="C10" s="54" t="s">
        <v>51</v>
      </c>
      <c r="D10" s="54">
        <f>RANK(H10,$H$7:$H$10)</f>
        <v>2</v>
      </c>
      <c r="E10" s="54">
        <f>SUMPRODUCT(($D$7:$D$10=$D10)*($T$7:$T$10&gt;T10))</f>
        <v>2</v>
      </c>
      <c r="F10" s="54">
        <f>SUMPRODUCT(($D$7:$D$10=$D10)*($E$7:$E$10=$E10)*($R$7:$R$10&gt;R10))</f>
        <v>0</v>
      </c>
      <c r="H10" s="52">
        <f>I10*3+K10</f>
        <v>3</v>
      </c>
      <c r="I10" s="54">
        <f>L10+O10</f>
        <v>1</v>
      </c>
      <c r="J10" s="54">
        <f>M10+P10</f>
        <v>2</v>
      </c>
      <c r="K10" s="54">
        <f>N10+Q10</f>
        <v>0</v>
      </c>
      <c r="L10" s="54">
        <f>SUMPRODUCT((Resultat!$E$13:$E$48=C10)*(Resultat!$H$13:$H$48&gt;Resultat!$J$13:$J$48)*(Resultat!$H$13:$H$48&lt;&gt;""))</f>
        <v>1</v>
      </c>
      <c r="M10" s="54">
        <f>SUMPRODUCT((Resultat!$E$13:$E$48=C10)*(Resultat!$H$13:$H$48&lt;Resultat!$J$13:$J$48)*(Resultat!$H$13:$H$48&lt;&gt;""))</f>
        <v>1</v>
      </c>
      <c r="N10" s="54">
        <f>SUMPRODUCT((Resultat!$E$13:$E$48=C10)*(Resultat!$H$13:$H$48=Resultat!$J$13:$J$48)*(Resultat!$H$13:$H$48&lt;&gt;""))</f>
        <v>0</v>
      </c>
      <c r="O10" s="54">
        <f>SUMPRODUCT((Resultat!$G$13:$G$48=C10)*(Resultat!$H$13:$H$48&lt;Resultat!$J$13:$J$48)*(Resultat!$H$13:$H$48&lt;&gt;""))</f>
        <v>0</v>
      </c>
      <c r="P10" s="54">
        <f>SUMPRODUCT((Resultat!$G$13:$G$48=C10)*(Resultat!$H$13:$H$48&gt;Resultat!$J$13:$J$48)*(Resultat!$H$13:$H$48&lt;&gt;""))</f>
        <v>1</v>
      </c>
      <c r="Q10" s="54">
        <f>SUMPRODUCT((Resultat!$G$13:$G$48=C10)*(Resultat!$H$13:$H$48=Resultat!$J$13:$J$48)*(Resultat!$H$13:$H$48&lt;&gt;""))</f>
        <v>0</v>
      </c>
      <c r="R10" s="54">
        <f>SUMPRODUCT((Resultat!$E$13:$E$48=C10)*(Resultat!$H$13:$H$48))+SUMPRODUCT((Resultat!$G$13:$G$48=C10)*(Resultat!$J$13:$J$48))</f>
        <v>4</v>
      </c>
      <c r="S10" s="54">
        <f>SUMPRODUCT((Resultat!$E$13:$E$48=C10)*(Resultat!$J$13:$J$48))+SUMPRODUCT((Resultat!$G$13:$G$48=C10)*(Resultat!$H$13:$H$48))</f>
        <v>7</v>
      </c>
      <c r="T10" s="54">
        <f>R10-S10</f>
        <v>-3</v>
      </c>
    </row>
    <row r="12" spans="2:20" ht="13" customHeight="1" x14ac:dyDescent="0.15">
      <c r="B12" s="98" t="s">
        <v>83</v>
      </c>
      <c r="C12" s="98"/>
    </row>
    <row r="13" spans="2:20" ht="13" customHeight="1" x14ac:dyDescent="0.15">
      <c r="B13" s="98"/>
      <c r="C13" s="98"/>
    </row>
    <row r="14" spans="2:20" ht="12" customHeight="1" x14ac:dyDescent="0.15">
      <c r="D14" s="56" t="s">
        <v>75</v>
      </c>
      <c r="E14" s="56"/>
      <c r="F14" s="56"/>
      <c r="G14" s="56"/>
      <c r="H14" s="56"/>
      <c r="I14" s="56"/>
      <c r="J14" s="56"/>
      <c r="K14" s="56"/>
      <c r="L14" s="56" t="s">
        <v>76</v>
      </c>
      <c r="M14" s="56"/>
      <c r="N14" s="56"/>
      <c r="O14" s="56" t="s">
        <v>77</v>
      </c>
      <c r="P14" s="56"/>
      <c r="Q14" s="56"/>
    </row>
    <row r="15" spans="2:20" x14ac:dyDescent="0.15">
      <c r="B15" s="53" t="s">
        <v>130</v>
      </c>
      <c r="C15" s="53" t="s">
        <v>34</v>
      </c>
      <c r="D15" s="53" t="s">
        <v>126</v>
      </c>
      <c r="E15" s="53" t="s">
        <v>127</v>
      </c>
      <c r="F15" s="53" t="s">
        <v>128</v>
      </c>
      <c r="G15" s="53" t="s">
        <v>129</v>
      </c>
      <c r="H15" s="53" t="s">
        <v>79</v>
      </c>
      <c r="I15" s="53" t="s">
        <v>131</v>
      </c>
      <c r="J15" s="53" t="s">
        <v>52</v>
      </c>
      <c r="K15" s="53" t="s">
        <v>132</v>
      </c>
      <c r="L15" s="53" t="s">
        <v>120</v>
      </c>
      <c r="M15" s="53" t="s">
        <v>121</v>
      </c>
      <c r="N15" s="53" t="s">
        <v>122</v>
      </c>
      <c r="O15" s="53" t="s">
        <v>123</v>
      </c>
      <c r="P15" s="53" t="s">
        <v>124</v>
      </c>
      <c r="Q15" s="53" t="s">
        <v>125</v>
      </c>
      <c r="R15" s="53" t="s">
        <v>81</v>
      </c>
      <c r="S15" s="53" t="s">
        <v>82</v>
      </c>
      <c r="T15" s="53" t="s">
        <v>80</v>
      </c>
    </row>
    <row r="16" spans="2:20" ht="16" x14ac:dyDescent="0.2">
      <c r="B16" s="54">
        <f>SUM(D16:G16)</f>
        <v>1</v>
      </c>
      <c r="C16" s="54" t="s">
        <v>47</v>
      </c>
      <c r="D16" s="54">
        <f>RANK(H16,$H$16:$H$19)</f>
        <v>1</v>
      </c>
      <c r="E16" s="54">
        <f>SUMPRODUCT(($D$16:$D$19=$D16)*($T$16:$T$19&gt;T16))</f>
        <v>0</v>
      </c>
      <c r="F16" s="54">
        <f>SUMPRODUCT(($D$16:$D$19=$D16)*($E$16:$E$19=$E16)*($R$16:$R$19&gt;R16))</f>
        <v>0</v>
      </c>
      <c r="H16" s="52">
        <f>I16*3+K16</f>
        <v>6</v>
      </c>
      <c r="I16" s="54">
        <f>L16+O16</f>
        <v>2</v>
      </c>
      <c r="J16" s="54">
        <f>M16+P16</f>
        <v>1</v>
      </c>
      <c r="K16" s="54">
        <f>N16+Q16</f>
        <v>0</v>
      </c>
      <c r="L16" s="54">
        <f>SUMPRODUCT((Resultat!$E$13:$E$48=C16)*(Resultat!$H$13:$H$48&gt;Resultat!$J$13:$J$48)*(Resultat!$H$13:$H$48&lt;&gt;""))</f>
        <v>2</v>
      </c>
      <c r="M16" s="54">
        <f>SUMPRODUCT((Resultat!$E$13:$E$48=C16)*(Resultat!$H$13:$H$48&lt;Resultat!$J$13:$J$48)*(Resultat!$H$13:$H$48&lt;&gt;""))</f>
        <v>0</v>
      </c>
      <c r="N16" s="54">
        <f>SUMPRODUCT((Resultat!$E$13:$E$48=C16)*(Resultat!$H$13:$H$48=Resultat!$J$13:$J$48)*(Resultat!$H$13:$H$48&lt;&gt;""))</f>
        <v>0</v>
      </c>
      <c r="O16" s="54">
        <f>SUMPRODUCT((Resultat!$G$13:$G$48=C16)*(Resultat!$H$13:$H$48&lt;Resultat!$J$13:$J$48)*(Resultat!$H$13:$H$48&lt;&gt;""))</f>
        <v>0</v>
      </c>
      <c r="P16" s="54">
        <f>SUMPRODUCT((Resultat!$G$13:$G$48=C16)*(Resultat!$H$13:$H$48&gt;Resultat!$J$13:$J$48)*(Resultat!$H$13:$H$48&lt;&gt;""))</f>
        <v>1</v>
      </c>
      <c r="Q16" s="54">
        <f>SUMPRODUCT((Resultat!$G$13:$G$48=C16)*(Resultat!$H$13:$H$48=Resultat!$J$13:$J$48)*(Resultat!$H$13:$H$48&lt;&gt;""))</f>
        <v>0</v>
      </c>
      <c r="R16" s="54">
        <f>SUMPRODUCT((Resultat!$E$13:$E$48=C16)*(Resultat!$H$13:$H$48))+SUMPRODUCT((Resultat!$G$13:$G$48=C16)*(Resultat!$J$13:$J$48))</f>
        <v>2</v>
      </c>
      <c r="S16" s="54">
        <f>SUMPRODUCT((Resultat!$E$13:$E$48=C16)*(Resultat!$J$13:$J$48))+SUMPRODUCT((Resultat!$G$13:$G$48=C16)*(Resultat!$H$13:$H$48))</f>
        <v>1</v>
      </c>
      <c r="T16" s="54">
        <f>R16-S16</f>
        <v>1</v>
      </c>
    </row>
    <row r="17" spans="2:20" ht="16" x14ac:dyDescent="0.2">
      <c r="B17" s="54">
        <f>SUM(D17:G17)</f>
        <v>2</v>
      </c>
      <c r="C17" s="54" t="s">
        <v>63</v>
      </c>
      <c r="D17" s="54">
        <f>RANK(H17,$H$16:$H$19)</f>
        <v>2</v>
      </c>
      <c r="E17" s="54">
        <f>SUMPRODUCT(($D$16:$D$19=$D17)*($T$16:$T$19&gt;T17))</f>
        <v>0</v>
      </c>
      <c r="F17" s="54">
        <f>SUMPRODUCT(($D$16:$D$19=$D17)*($E$16:$E$19=$E17)*($R$16:$R$19&gt;R17))</f>
        <v>0</v>
      </c>
      <c r="H17" s="52">
        <f>I17*3+K17</f>
        <v>5</v>
      </c>
      <c r="I17" s="54">
        <f>L17+O17</f>
        <v>1</v>
      </c>
      <c r="J17" s="54">
        <f>M17+P17</f>
        <v>0</v>
      </c>
      <c r="K17" s="54">
        <f>N17+Q17</f>
        <v>2</v>
      </c>
      <c r="L17" s="54">
        <f>SUMPRODUCT((Resultat!$E$13:$E$48=C17)*(Resultat!$H$13:$H$48&gt;Resultat!$J$13:$J$48)*(Resultat!$H$13:$H$48&lt;&gt;""))</f>
        <v>1</v>
      </c>
      <c r="M17" s="54">
        <f>SUMPRODUCT((Resultat!$E$13:$E$48=C17)*(Resultat!$H$13:$H$48&lt;Resultat!$J$13:$J$48)*(Resultat!$H$13:$H$48&lt;&gt;""))</f>
        <v>0</v>
      </c>
      <c r="N17" s="54">
        <f>SUMPRODUCT((Resultat!$E$13:$E$48=C17)*(Resultat!$H$13:$H$48=Resultat!$J$13:$J$48)*(Resultat!$H$13:$H$48&lt;&gt;""))</f>
        <v>0</v>
      </c>
      <c r="O17" s="54">
        <f>SUMPRODUCT((Resultat!$G$13:$G$48=C17)*(Resultat!$H$13:$H$48&lt;Resultat!$J$13:$J$48)*(Resultat!$H$13:$H$48&lt;&gt;""))</f>
        <v>0</v>
      </c>
      <c r="P17" s="54">
        <f>SUMPRODUCT((Resultat!$G$13:$G$48=C17)*(Resultat!$H$13:$H$48&gt;Resultat!$J$13:$J$48)*(Resultat!$H$13:$H$48&lt;&gt;""))</f>
        <v>0</v>
      </c>
      <c r="Q17" s="54">
        <f>SUMPRODUCT((Resultat!$G$13:$G$48=C17)*(Resultat!$H$13:$H$48=Resultat!$J$13:$J$48)*(Resultat!$H$13:$H$48&lt;&gt;""))</f>
        <v>2</v>
      </c>
      <c r="R17" s="54">
        <f>SUMPRODUCT((Resultat!$E$13:$E$48=C17)*(Resultat!$H$13:$H$48))+SUMPRODUCT((Resultat!$G$13:$G$48=C17)*(Resultat!$J$13:$J$48))</f>
        <v>4</v>
      </c>
      <c r="S17" s="54">
        <f>SUMPRODUCT((Resultat!$E$13:$E$48=C17)*(Resultat!$J$13:$J$48))+SUMPRODUCT((Resultat!$G$13:$G$48=C17)*(Resultat!$H$13:$H$48))</f>
        <v>3</v>
      </c>
      <c r="T17" s="54">
        <f>R17-S17</f>
        <v>1</v>
      </c>
    </row>
    <row r="18" spans="2:20" ht="16" x14ac:dyDescent="0.2">
      <c r="B18" s="54">
        <f>SUM(D18:G18)</f>
        <v>3</v>
      </c>
      <c r="C18" s="54" t="s">
        <v>62</v>
      </c>
      <c r="D18" s="54">
        <f>RANK(H18,$H$16:$H$19)</f>
        <v>3</v>
      </c>
      <c r="E18" s="54">
        <f>SUMPRODUCT(($D$16:$D$19=$D18)*($T$16:$T$19&gt;T18))</f>
        <v>0</v>
      </c>
      <c r="F18" s="54">
        <f>SUMPRODUCT(($D$16:$D$19=$D18)*($E$16:$E$19=$E18)*($R$16:$R$19&gt;R18))</f>
        <v>0</v>
      </c>
      <c r="H18" s="52">
        <f>I18*3+K18</f>
        <v>4</v>
      </c>
      <c r="I18" s="54">
        <f>L18+O18</f>
        <v>1</v>
      </c>
      <c r="J18" s="54">
        <f>M18+P18</f>
        <v>1</v>
      </c>
      <c r="K18" s="54">
        <f>N18+Q18</f>
        <v>1</v>
      </c>
      <c r="L18" s="54">
        <f>SUMPRODUCT((Resultat!$E$13:$E$48=C18)*(Resultat!$H$13:$H$48&gt;Resultat!$J$13:$J$48)*(Resultat!$H$13:$H$48&lt;&gt;""))</f>
        <v>0</v>
      </c>
      <c r="M18" s="54">
        <f>SUMPRODUCT((Resultat!$E$13:$E$48=C18)*(Resultat!$H$13:$H$48&lt;Resultat!$J$13:$J$48)*(Resultat!$H$13:$H$48&lt;&gt;""))</f>
        <v>0</v>
      </c>
      <c r="N18" s="54">
        <f>SUMPRODUCT((Resultat!$E$13:$E$48=C18)*(Resultat!$H$13:$H$48=Resultat!$J$13:$J$48)*(Resultat!$H$13:$H$48&lt;&gt;""))</f>
        <v>1</v>
      </c>
      <c r="O18" s="54">
        <f>SUMPRODUCT((Resultat!$G$13:$G$48=C18)*(Resultat!$H$13:$H$48&lt;Resultat!$J$13:$J$48)*(Resultat!$H$13:$H$48&lt;&gt;""))</f>
        <v>1</v>
      </c>
      <c r="P18" s="54">
        <f>SUMPRODUCT((Resultat!$G$13:$G$48=C18)*(Resultat!$H$13:$H$48&gt;Resultat!$J$13:$J$48)*(Resultat!$H$13:$H$48&lt;&gt;""))</f>
        <v>1</v>
      </c>
      <c r="Q18" s="54">
        <f>SUMPRODUCT((Resultat!$G$13:$G$48=C18)*(Resultat!$H$13:$H$48=Resultat!$J$13:$J$48)*(Resultat!$H$13:$H$48&lt;&gt;""))</f>
        <v>0</v>
      </c>
      <c r="R18" s="54">
        <f>SUMPRODUCT((Resultat!$E$13:$E$48=C18)*(Resultat!$H$13:$H$48))+SUMPRODUCT((Resultat!$G$13:$G$48=C18)*(Resultat!$J$13:$J$48))</f>
        <v>4</v>
      </c>
      <c r="S18" s="54">
        <f>SUMPRODUCT((Resultat!$E$13:$E$48=C18)*(Resultat!$J$13:$J$48))+SUMPRODUCT((Resultat!$G$13:$G$48=C18)*(Resultat!$H$13:$H$48))</f>
        <v>4</v>
      </c>
      <c r="T18" s="54">
        <f>R18-S18</f>
        <v>0</v>
      </c>
    </row>
    <row r="19" spans="2:20" ht="16" x14ac:dyDescent="0.2">
      <c r="B19" s="54">
        <f>SUM(D19:G19)</f>
        <v>4</v>
      </c>
      <c r="C19" s="54" t="s">
        <v>56</v>
      </c>
      <c r="D19" s="54">
        <f>RANK(H19,$H$16:$H$19)</f>
        <v>4</v>
      </c>
      <c r="E19" s="54">
        <f>SUMPRODUCT(($D$16:$D$19=$D19)*($T$16:$T$19&gt;T19))</f>
        <v>0</v>
      </c>
      <c r="F19" s="54">
        <f>SUMPRODUCT(($D$16:$D$19=$D19)*($E$16:$E$19=$E19)*($R$16:$R$19&gt;R19))</f>
        <v>0</v>
      </c>
      <c r="H19" s="52">
        <f>I19*3+K19</f>
        <v>1</v>
      </c>
      <c r="I19" s="54">
        <f>L19+O19</f>
        <v>0</v>
      </c>
      <c r="J19" s="54">
        <f>M19+P19</f>
        <v>2</v>
      </c>
      <c r="K19" s="54">
        <f>N19+Q19</f>
        <v>1</v>
      </c>
      <c r="L19" s="54">
        <f>SUMPRODUCT((Resultat!$E$13:$E$48=C19)*(Resultat!$H$13:$H$48&gt;Resultat!$J$13:$J$48)*(Resultat!$H$13:$H$48&lt;&gt;""))</f>
        <v>0</v>
      </c>
      <c r="M19" s="54">
        <f>SUMPRODUCT((Resultat!$E$13:$E$48=C19)*(Resultat!$H$13:$H$48&lt;Resultat!$J$13:$J$48)*(Resultat!$H$13:$H$48&lt;&gt;""))</f>
        <v>1</v>
      </c>
      <c r="N19" s="54">
        <f>SUMPRODUCT((Resultat!$E$13:$E$48=C19)*(Resultat!$H$13:$H$48=Resultat!$J$13:$J$48)*(Resultat!$H$13:$H$48&lt;&gt;""))</f>
        <v>1</v>
      </c>
      <c r="O19" s="54">
        <f>SUMPRODUCT((Resultat!$G$13:$G$48=C19)*(Resultat!$H$13:$H$48&lt;Resultat!$J$13:$J$48)*(Resultat!$H$13:$H$48&lt;&gt;""))</f>
        <v>0</v>
      </c>
      <c r="P19" s="54">
        <f>SUMPRODUCT((Resultat!$G$13:$G$48=C19)*(Resultat!$H$13:$H$48&gt;Resultat!$J$13:$J$48)*(Resultat!$H$13:$H$48&lt;&gt;""))</f>
        <v>1</v>
      </c>
      <c r="Q19" s="54">
        <f>SUMPRODUCT((Resultat!$G$13:$G$48=C19)*(Resultat!$H$13:$H$48=Resultat!$J$13:$J$48)*(Resultat!$H$13:$H$48&lt;&gt;""))</f>
        <v>0</v>
      </c>
      <c r="R19" s="54">
        <f>SUMPRODUCT((Resultat!$E$13:$E$48=C19)*(Resultat!$H$13:$H$48))+SUMPRODUCT((Resultat!$G$13:$G$48=C19)*(Resultat!$J$13:$J$48))</f>
        <v>2</v>
      </c>
      <c r="S19" s="54">
        <f>SUMPRODUCT((Resultat!$E$13:$E$48=C19)*(Resultat!$J$13:$J$48))+SUMPRODUCT((Resultat!$G$13:$G$48=C19)*(Resultat!$H$13:$H$48))</f>
        <v>4</v>
      </c>
      <c r="T19" s="54">
        <f>R19-S19</f>
        <v>-2</v>
      </c>
    </row>
    <row r="21" spans="2:20" ht="13" customHeight="1" x14ac:dyDescent="0.15">
      <c r="B21" s="98" t="s">
        <v>84</v>
      </c>
      <c r="C21" s="98"/>
    </row>
    <row r="22" spans="2:20" ht="13" customHeight="1" x14ac:dyDescent="0.15">
      <c r="B22" s="98"/>
      <c r="C22" s="98"/>
    </row>
    <row r="23" spans="2:20" x14ac:dyDescent="0.15">
      <c r="D23" s="56" t="s">
        <v>75</v>
      </c>
      <c r="E23" s="56"/>
      <c r="F23" s="56"/>
      <c r="G23" s="56"/>
      <c r="H23" s="56"/>
      <c r="I23" s="56"/>
      <c r="J23" s="56"/>
      <c r="K23" s="56"/>
      <c r="L23" s="56" t="s">
        <v>76</v>
      </c>
      <c r="M23" s="56"/>
      <c r="N23" s="56"/>
      <c r="O23" s="56" t="s">
        <v>77</v>
      </c>
      <c r="P23" s="56"/>
      <c r="Q23" s="56"/>
    </row>
    <row r="24" spans="2:20" x14ac:dyDescent="0.15">
      <c r="B24" s="53" t="s">
        <v>130</v>
      </c>
      <c r="C24" s="53" t="s">
        <v>34</v>
      </c>
      <c r="D24" s="53" t="s">
        <v>126</v>
      </c>
      <c r="E24" s="53" t="s">
        <v>127</v>
      </c>
      <c r="F24" s="53" t="s">
        <v>128</v>
      </c>
      <c r="G24" s="53" t="s">
        <v>129</v>
      </c>
      <c r="H24" s="53" t="s">
        <v>79</v>
      </c>
      <c r="I24" s="53" t="s">
        <v>131</v>
      </c>
      <c r="J24" s="53" t="s">
        <v>52</v>
      </c>
      <c r="K24" s="53" t="s">
        <v>132</v>
      </c>
      <c r="L24" s="53" t="s">
        <v>120</v>
      </c>
      <c r="M24" s="53" t="s">
        <v>121</v>
      </c>
      <c r="N24" s="53" t="s">
        <v>122</v>
      </c>
      <c r="O24" s="53" t="s">
        <v>123</v>
      </c>
      <c r="P24" s="53" t="s">
        <v>124</v>
      </c>
      <c r="Q24" s="53" t="s">
        <v>125</v>
      </c>
      <c r="R24" s="53" t="s">
        <v>81</v>
      </c>
      <c r="S24" s="53" t="s">
        <v>82</v>
      </c>
      <c r="T24" s="53" t="s">
        <v>80</v>
      </c>
    </row>
    <row r="25" spans="2:20" ht="16" x14ac:dyDescent="0.2">
      <c r="B25" s="54">
        <f>SUM(D25:G25)</f>
        <v>1</v>
      </c>
      <c r="C25" s="54" t="s">
        <v>65</v>
      </c>
      <c r="D25" s="54">
        <f>RANK(H25,$H$25:$H$28)</f>
        <v>1</v>
      </c>
      <c r="E25" s="54">
        <f>SUMPRODUCT(($D$25:$D$28=$D25)*($T$25:$T$28&gt;T25))</f>
        <v>0</v>
      </c>
      <c r="F25" s="54">
        <f>SUMPRODUCT(($D$25:$D$28=$D25)*($E$25:$E$28=$E25)*($R$25:$R$28&gt;R25))</f>
        <v>0</v>
      </c>
      <c r="H25" s="52">
        <f>I25*3+K25</f>
        <v>5</v>
      </c>
      <c r="I25" s="54">
        <f>L25+O25</f>
        <v>1</v>
      </c>
      <c r="J25" s="54">
        <f>M25+P25</f>
        <v>0</v>
      </c>
      <c r="K25" s="54">
        <f>N25+Q25</f>
        <v>2</v>
      </c>
      <c r="L25" s="54">
        <f>SUMPRODUCT((Resultat!$E$13:$E$48=C25)*(Resultat!$H$13:$H$48&gt;Resultat!$J$13:$J$48)*(Resultat!$H$13:$H$48&lt;&gt;""))</f>
        <v>1</v>
      </c>
      <c r="M25" s="54">
        <f>SUMPRODUCT((Resultat!$E$13:$E$48=C25)*(Resultat!$H$13:$H$48&lt;Resultat!$J$13:$J$48)*(Resultat!$H$13:$H$48&lt;&gt;""))</f>
        <v>0</v>
      </c>
      <c r="N25" s="54">
        <f>SUMPRODUCT((Resultat!$E$13:$E$48=C25)*(Resultat!$H$13:$H$48=Resultat!$J$13:$J$48)*(Resultat!$H$13:$H$48&lt;&gt;""))</f>
        <v>0</v>
      </c>
      <c r="O25" s="54">
        <f>SUMPRODUCT((Resultat!$G$13:$G$48=C25)*(Resultat!$H$13:$H$48&lt;Resultat!$J$13:$J$48)*(Resultat!$H$13:$H$48&lt;&gt;""))</f>
        <v>0</v>
      </c>
      <c r="P25" s="54">
        <f>SUMPRODUCT((Resultat!$G$13:$G$48=C25)*(Resultat!$H$13:$H$48&gt;Resultat!$J$13:$J$48)*(Resultat!$H$13:$H$48&lt;&gt;""))</f>
        <v>0</v>
      </c>
      <c r="Q25" s="54">
        <f>SUMPRODUCT((Resultat!$G$13:$G$48=C25)*(Resultat!$H$13:$H$48=Resultat!$J$13:$J$48)*(Resultat!$H$13:$H$48&lt;&gt;""))</f>
        <v>2</v>
      </c>
      <c r="R25" s="54">
        <f>SUMPRODUCT((Resultat!$E$13:$E$48=C25)*(Resultat!$H$13:$H$48))+SUMPRODUCT((Resultat!$G$13:$G$48=C25)*(Resultat!$J$13:$J$48))</f>
        <v>4</v>
      </c>
      <c r="S25" s="54">
        <f>SUMPRODUCT((Resultat!$E$13:$E$48=C25)*(Resultat!$J$13:$J$48))+SUMPRODUCT((Resultat!$G$13:$G$48=C25)*(Resultat!$H$13:$H$48))</f>
        <v>3</v>
      </c>
      <c r="T25" s="54">
        <f>R25-S25</f>
        <v>1</v>
      </c>
    </row>
    <row r="26" spans="2:20" ht="16" x14ac:dyDescent="0.2">
      <c r="B26" s="54">
        <f>SUM(D26:G26)</f>
        <v>2</v>
      </c>
      <c r="C26" s="54" t="s">
        <v>53</v>
      </c>
      <c r="D26" s="54">
        <f>RANK(H26,$H$25:$H$28)</f>
        <v>2</v>
      </c>
      <c r="E26" s="54">
        <f>SUMPRODUCT(($D$25:$D$28=$D26)*($T$25:$T$28&gt;T26))</f>
        <v>0</v>
      </c>
      <c r="F26" s="54">
        <f>SUMPRODUCT(($D$25:$D$28=$D26)*($E$25:$E$28=$E26)*($R$25:$R$28&gt;R26))</f>
        <v>0</v>
      </c>
      <c r="H26" s="52">
        <f>I26*3+K26</f>
        <v>4</v>
      </c>
      <c r="I26" s="54">
        <f>L26+O26</f>
        <v>1</v>
      </c>
      <c r="J26" s="54">
        <f>M26+P26</f>
        <v>1</v>
      </c>
      <c r="K26" s="54">
        <f>N26+Q26</f>
        <v>1</v>
      </c>
      <c r="L26" s="54">
        <f>SUMPRODUCT((Resultat!$E$13:$E$48=C26)*(Resultat!$H$13:$H$48&gt;Resultat!$J$13:$J$48)*(Resultat!$H$13:$H$48&lt;&gt;""))</f>
        <v>1</v>
      </c>
      <c r="M26" s="54">
        <f>SUMPRODUCT((Resultat!$E$13:$E$48=C26)*(Resultat!$H$13:$H$48&lt;Resultat!$J$13:$J$48)*(Resultat!$H$13:$H$48&lt;&gt;""))</f>
        <v>0</v>
      </c>
      <c r="N26" s="54">
        <f>SUMPRODUCT((Resultat!$E$13:$E$48=C26)*(Resultat!$H$13:$H$48=Resultat!$J$13:$J$48)*(Resultat!$H$13:$H$48&lt;&gt;""))</f>
        <v>1</v>
      </c>
      <c r="O26" s="54">
        <f>SUMPRODUCT((Resultat!$G$13:$G$48=C26)*(Resultat!$H$13:$H$48&lt;Resultat!$J$13:$J$48)*(Resultat!$H$13:$H$48&lt;&gt;""))</f>
        <v>0</v>
      </c>
      <c r="P26" s="54">
        <f>SUMPRODUCT((Resultat!$G$13:$G$48=C26)*(Resultat!$H$13:$H$48&gt;Resultat!$J$13:$J$48)*(Resultat!$H$13:$H$48&lt;&gt;""))</f>
        <v>1</v>
      </c>
      <c r="Q26" s="54">
        <f>SUMPRODUCT((Resultat!$G$13:$G$48=C26)*(Resultat!$H$13:$H$48=Resultat!$J$13:$J$48)*(Resultat!$H$13:$H$48&lt;&gt;""))</f>
        <v>0</v>
      </c>
      <c r="R26" s="54">
        <f>SUMPRODUCT((Resultat!$E$13:$E$48=C26)*(Resultat!$H$13:$H$48))+SUMPRODUCT((Resultat!$G$13:$G$48=C26)*(Resultat!$J$13:$J$48))</f>
        <v>2</v>
      </c>
      <c r="S26" s="54">
        <f>SUMPRODUCT((Resultat!$E$13:$E$48=C26)*(Resultat!$J$13:$J$48))+SUMPRODUCT((Resultat!$G$13:$G$48=C26)*(Resultat!$H$13:$H$48))</f>
        <v>2</v>
      </c>
      <c r="T26" s="54">
        <f>R26-S26</f>
        <v>0</v>
      </c>
    </row>
    <row r="27" spans="2:20" ht="16" x14ac:dyDescent="0.2">
      <c r="B27" s="54">
        <f>SUM(D27:G27)</f>
        <v>3</v>
      </c>
      <c r="C27" s="54" t="s">
        <v>67</v>
      </c>
      <c r="D27" s="54">
        <f>RANK(H27,$H$25:$H$28)</f>
        <v>3</v>
      </c>
      <c r="E27" s="54">
        <f>SUMPRODUCT(($D$25:$D$28=$D27)*($T$25:$T$28&gt;T27))</f>
        <v>0</v>
      </c>
      <c r="F27" s="54">
        <f>SUMPRODUCT(($D$25:$D$28=$D27)*($E$25:$E$28=$E27)*($R$25:$R$28&gt;R27))</f>
        <v>0</v>
      </c>
      <c r="H27" s="52">
        <f>I27*3+K27</f>
        <v>1</v>
      </c>
      <c r="I27" s="54">
        <f>L27+O27</f>
        <v>0</v>
      </c>
      <c r="J27" s="54">
        <f>M27+P27</f>
        <v>2</v>
      </c>
      <c r="K27" s="54">
        <f>N27+Q27</f>
        <v>1</v>
      </c>
      <c r="L27" s="54">
        <f>SUMPRODUCT((Resultat!$E$13:$E$48=C27)*(Resultat!$H$13:$H$48&gt;Resultat!$J$13:$J$48)*(Resultat!$H$13:$H$48&lt;&gt;""))</f>
        <v>0</v>
      </c>
      <c r="M27" s="54">
        <f>SUMPRODUCT((Resultat!$E$13:$E$48=C27)*(Resultat!$H$13:$H$48&lt;Resultat!$J$13:$J$48)*(Resultat!$H$13:$H$48&lt;&gt;""))</f>
        <v>1</v>
      </c>
      <c r="N27" s="54">
        <f>SUMPRODUCT((Resultat!$E$13:$E$48=C27)*(Resultat!$H$13:$H$48=Resultat!$J$13:$J$48)*(Resultat!$H$13:$H$48&lt;&gt;""))</f>
        <v>1</v>
      </c>
      <c r="O27" s="54">
        <f>SUMPRODUCT((Resultat!$G$13:$G$48=C27)*(Resultat!$H$13:$H$48&lt;Resultat!$J$13:$J$48)*(Resultat!$H$13:$H$48&lt;&gt;""))</f>
        <v>0</v>
      </c>
      <c r="P27" s="54">
        <f>SUMPRODUCT((Resultat!$G$13:$G$48=C27)*(Resultat!$H$13:$H$48&gt;Resultat!$J$13:$J$48)*(Resultat!$H$13:$H$48&lt;&gt;""))</f>
        <v>1</v>
      </c>
      <c r="Q27" s="54">
        <f>SUMPRODUCT((Resultat!$G$13:$G$48=C27)*(Resultat!$H$13:$H$48=Resultat!$J$13:$J$48)*(Resultat!$H$13:$H$48&lt;&gt;""))</f>
        <v>0</v>
      </c>
      <c r="R27" s="54">
        <f>SUMPRODUCT((Resultat!$E$13:$E$48=C27)*(Resultat!$H$13:$H$48))+SUMPRODUCT((Resultat!$G$13:$G$48=C27)*(Resultat!$J$13:$J$48))</f>
        <v>3</v>
      </c>
      <c r="S27" s="54">
        <f>SUMPRODUCT((Resultat!$E$13:$E$48=C27)*(Resultat!$J$13:$J$48))+SUMPRODUCT((Resultat!$G$13:$G$48=C27)*(Resultat!$H$13:$H$48))</f>
        <v>5</v>
      </c>
      <c r="T27" s="54">
        <f>R27-S27</f>
        <v>-2</v>
      </c>
    </row>
    <row r="28" spans="2:20" ht="16" x14ac:dyDescent="0.2">
      <c r="B28" s="54">
        <f>SUM(D28:G28)</f>
        <v>4</v>
      </c>
      <c r="C28" s="54" t="s">
        <v>88</v>
      </c>
      <c r="D28" s="54">
        <f>RANK(H28,$H$25:$H$28)</f>
        <v>4</v>
      </c>
      <c r="E28" s="54">
        <f>SUMPRODUCT(($D$25:$D$28=$D28)*($T$25:$T$28&gt;T28))</f>
        <v>0</v>
      </c>
      <c r="F28" s="54">
        <f>SUMPRODUCT(($D$25:$D$28=$D28)*($E$25:$E$28=$E28)*($R$25:$R$28&gt;R28))</f>
        <v>0</v>
      </c>
      <c r="H28" s="52">
        <f>I28*3+K28</f>
        <v>0</v>
      </c>
      <c r="I28" s="54">
        <f>L28+O28</f>
        <v>0</v>
      </c>
      <c r="J28" s="54">
        <f>M28+P28</f>
        <v>0</v>
      </c>
      <c r="K28" s="54">
        <f>N28+Q28</f>
        <v>0</v>
      </c>
      <c r="L28" s="54">
        <f>SUMPRODUCT((Resultat!$E$13:$E$48=C28)*(Resultat!$H$13:$H$48&gt;Resultat!$J$13:$J$48)*(Resultat!$H$13:$H$48&lt;&gt;""))</f>
        <v>0</v>
      </c>
      <c r="M28" s="54">
        <f>SUMPRODUCT((Resultat!$E$13:$E$48=C28)*(Resultat!$H$13:$H$48&lt;Resultat!$J$13:$J$48)*(Resultat!$H$13:$H$48&lt;&gt;""))</f>
        <v>0</v>
      </c>
      <c r="N28" s="54">
        <f>SUMPRODUCT((Resultat!$E$13:$E$48=C28)*(Resultat!$H$13:$H$48=Resultat!$J$13:$J$48)*(Resultat!$H$13:$H$48&lt;&gt;""))</f>
        <v>0</v>
      </c>
      <c r="O28" s="54">
        <f>SUMPRODUCT((Resultat!$G$13:$G$48=C28)*(Resultat!$H$13:$H$48&lt;Resultat!$J$13:$J$48)*(Resultat!$H$13:$H$48&lt;&gt;""))</f>
        <v>0</v>
      </c>
      <c r="P28" s="54">
        <f>SUMPRODUCT((Resultat!$G$13:$G$48=C28)*(Resultat!$H$13:$H$48&gt;Resultat!$J$13:$J$48)*(Resultat!$H$13:$H$48&lt;&gt;""))</f>
        <v>0</v>
      </c>
      <c r="Q28" s="54">
        <f>SUMPRODUCT((Resultat!$G$13:$G$48=C28)*(Resultat!$H$13:$H$48=Resultat!$J$13:$J$48)*(Resultat!$H$13:$H$48&lt;&gt;""))</f>
        <v>0</v>
      </c>
      <c r="R28" s="54">
        <f>SUMPRODUCT((Resultat!$E$13:$E$48=C28)*(Resultat!$H$13:$H$48))+SUMPRODUCT((Resultat!$G$13:$G$48=C28)*(Resultat!$J$13:$J$48))</f>
        <v>0</v>
      </c>
      <c r="S28" s="54">
        <f>SUMPRODUCT((Resultat!$E$13:$E$48=C28)*(Resultat!$J$13:$J$48))+SUMPRODUCT((Resultat!$G$13:$G$48=C28)*(Resultat!$H$13:$H$48))</f>
        <v>0</v>
      </c>
      <c r="T28" s="54">
        <f>R28-S28</f>
        <v>0</v>
      </c>
    </row>
    <row r="30" spans="2:20" ht="13" customHeight="1" x14ac:dyDescent="0.15">
      <c r="B30" s="98" t="s">
        <v>85</v>
      </c>
      <c r="C30" s="98"/>
    </row>
    <row r="31" spans="2:20" ht="13" customHeight="1" x14ac:dyDescent="0.15">
      <c r="B31" s="98"/>
      <c r="C31" s="98"/>
    </row>
    <row r="32" spans="2:20" x14ac:dyDescent="0.15">
      <c r="D32" s="56" t="s">
        <v>75</v>
      </c>
      <c r="E32" s="56"/>
      <c r="F32" s="56"/>
      <c r="G32" s="56"/>
      <c r="H32" s="56"/>
      <c r="I32" s="56"/>
      <c r="J32" s="56"/>
      <c r="K32" s="56"/>
      <c r="L32" s="56" t="s">
        <v>76</v>
      </c>
      <c r="M32" s="56"/>
      <c r="N32" s="56"/>
      <c r="O32" s="56" t="s">
        <v>77</v>
      </c>
      <c r="P32" s="56"/>
      <c r="Q32" s="56"/>
    </row>
    <row r="33" spans="2:20" x14ac:dyDescent="0.15">
      <c r="B33" s="53" t="s">
        <v>130</v>
      </c>
      <c r="C33" s="53" t="s">
        <v>34</v>
      </c>
      <c r="D33" s="53" t="s">
        <v>126</v>
      </c>
      <c r="E33" s="53" t="s">
        <v>127</v>
      </c>
      <c r="F33" s="53" t="s">
        <v>128</v>
      </c>
      <c r="G33" s="53" t="s">
        <v>129</v>
      </c>
      <c r="H33" s="53" t="s">
        <v>79</v>
      </c>
      <c r="I33" s="53" t="s">
        <v>131</v>
      </c>
      <c r="J33" s="53" t="s">
        <v>52</v>
      </c>
      <c r="K33" s="53" t="s">
        <v>132</v>
      </c>
      <c r="L33" s="53" t="s">
        <v>120</v>
      </c>
      <c r="M33" s="53" t="s">
        <v>121</v>
      </c>
      <c r="N33" s="53" t="s">
        <v>122</v>
      </c>
      <c r="O33" s="53" t="s">
        <v>123</v>
      </c>
      <c r="P33" s="53" t="s">
        <v>124</v>
      </c>
      <c r="Q33" s="53" t="s">
        <v>125</v>
      </c>
      <c r="R33" s="53" t="s">
        <v>81</v>
      </c>
      <c r="S33" s="53" t="s">
        <v>82</v>
      </c>
      <c r="T33" s="53" t="s">
        <v>80</v>
      </c>
    </row>
    <row r="34" spans="2:20" ht="16" x14ac:dyDescent="0.2">
      <c r="B34" s="54">
        <f>SUM(D34:G34)</f>
        <v>1</v>
      </c>
      <c r="C34" s="54" t="s">
        <v>64</v>
      </c>
      <c r="D34" s="54">
        <f>RANK(H34,$H$34:$H$37)</f>
        <v>1</v>
      </c>
      <c r="E34" s="54">
        <f>SUMPRODUCT(($D$34:$D$37=$D34)*($T$34:$T$37&gt;T34))</f>
        <v>0</v>
      </c>
      <c r="F34" s="54">
        <f>SUMPRODUCT(($D$34:$D$37=$D34)*($E$34:$E$37=$E34)*($R$34:$R$37&gt;R34))</f>
        <v>0</v>
      </c>
      <c r="H34" s="52">
        <f>I34*3+K34</f>
        <v>4</v>
      </c>
      <c r="I34" s="54">
        <f>L34+O34</f>
        <v>1</v>
      </c>
      <c r="J34" s="54">
        <f>M34+P34</f>
        <v>0</v>
      </c>
      <c r="K34" s="54">
        <f>N34+Q34</f>
        <v>1</v>
      </c>
      <c r="L34" s="54">
        <f>SUMPRODUCT((Resultat!$E$13:$E$48=C34)*(Resultat!$H$13:$H$48&gt;Resultat!$J$13:$J$48)*(Resultat!$H$13:$H$48&lt;&gt;""))</f>
        <v>0</v>
      </c>
      <c r="M34" s="54">
        <f>SUMPRODUCT((Resultat!$E$13:$E$48=C34)*(Resultat!$H$13:$H$48&lt;Resultat!$J$13:$J$48)*(Resultat!$H$13:$H$48&lt;&gt;""))</f>
        <v>0</v>
      </c>
      <c r="N34" s="54">
        <f>SUMPRODUCT((Resultat!$E$13:$E$48=C34)*(Resultat!$H$13:$H$48=Resultat!$J$13:$J$48)*(Resultat!$H$13:$H$48&lt;&gt;""))</f>
        <v>1</v>
      </c>
      <c r="O34" s="54">
        <f>SUMPRODUCT((Resultat!$G$13:$G$48=C34)*(Resultat!$H$13:$H$48&lt;Resultat!$J$13:$J$48)*(Resultat!$H$13:$H$48&lt;&gt;""))</f>
        <v>1</v>
      </c>
      <c r="P34" s="54">
        <f>SUMPRODUCT((Resultat!$G$13:$G$48=C34)*(Resultat!$H$13:$H$48&gt;Resultat!$J$13:$J$48)*(Resultat!$H$13:$H$48&lt;&gt;""))</f>
        <v>0</v>
      </c>
      <c r="Q34" s="54">
        <f>SUMPRODUCT((Resultat!$G$13:$G$48=C34)*(Resultat!$H$13:$H$48=Resultat!$J$13:$J$48)*(Resultat!$H$13:$H$48&lt;&gt;""))</f>
        <v>0</v>
      </c>
      <c r="R34" s="54">
        <f>SUMPRODUCT((Resultat!$E$13:$E$48=C34)*(Resultat!$H$13:$H$48))+SUMPRODUCT((Resultat!$G$13:$G$48=C34)*(Resultat!$J$13:$J$48))</f>
        <v>4</v>
      </c>
      <c r="S34" s="54">
        <f>SUMPRODUCT((Resultat!$E$13:$E$48=C34)*(Resultat!$J$13:$J$48))+SUMPRODUCT((Resultat!$G$13:$G$48=C34)*(Resultat!$H$13:$H$48))</f>
        <v>3</v>
      </c>
      <c r="T34" s="54">
        <f>R34-S34</f>
        <v>1</v>
      </c>
    </row>
    <row r="35" spans="2:20" ht="16" x14ac:dyDescent="0.2">
      <c r="B35" s="54">
        <f>SUM(D35:G35)</f>
        <v>2</v>
      </c>
      <c r="C35" s="54" t="s">
        <v>40</v>
      </c>
      <c r="D35" s="54">
        <f>RANK(H35,$H$34:$H$37)</f>
        <v>2</v>
      </c>
      <c r="E35" s="54">
        <f>SUMPRODUCT(($D$34:$D$37=$D35)*($T$34:$T$37&gt;T35))</f>
        <v>0</v>
      </c>
      <c r="F35" s="54">
        <f>SUMPRODUCT(($D$34:$D$37=$D35)*($E$34:$E$37=$E35)*($R$34:$R$37&gt;R35))</f>
        <v>0</v>
      </c>
      <c r="H35" s="52">
        <f>I35*3+K35</f>
        <v>3</v>
      </c>
      <c r="I35" s="54">
        <f>L35+O35</f>
        <v>0</v>
      </c>
      <c r="J35" s="54">
        <f>M35+P35</f>
        <v>0</v>
      </c>
      <c r="K35" s="54">
        <f>N35+Q35</f>
        <v>3</v>
      </c>
      <c r="L35" s="54">
        <f>SUMPRODUCT((Resultat!$E$13:$E$48=C35)*(Resultat!$H$13:$H$48&gt;Resultat!$J$13:$J$48)*(Resultat!$H$13:$H$48&lt;&gt;""))</f>
        <v>0</v>
      </c>
      <c r="M35" s="54">
        <f>SUMPRODUCT((Resultat!$E$13:$E$48=C35)*(Resultat!$H$13:$H$48&lt;Resultat!$J$13:$J$48)*(Resultat!$H$13:$H$48&lt;&gt;""))</f>
        <v>0</v>
      </c>
      <c r="N35" s="54">
        <f>SUMPRODUCT((Resultat!$E$13:$E$48=C35)*(Resultat!$H$13:$H$48=Resultat!$J$13:$J$48)*(Resultat!$H$13:$H$48&lt;&gt;""))</f>
        <v>1</v>
      </c>
      <c r="O35" s="54">
        <f>SUMPRODUCT((Resultat!$G$13:$G$48=C35)*(Resultat!$H$13:$H$48&lt;Resultat!$J$13:$J$48)*(Resultat!$H$13:$H$48&lt;&gt;""))</f>
        <v>0</v>
      </c>
      <c r="P35" s="54">
        <f>SUMPRODUCT((Resultat!$G$13:$G$48=C35)*(Resultat!$H$13:$H$48&gt;Resultat!$J$13:$J$48)*(Resultat!$H$13:$H$48&lt;&gt;""))</f>
        <v>0</v>
      </c>
      <c r="Q35" s="54">
        <f>SUMPRODUCT((Resultat!$G$13:$G$48=C35)*(Resultat!$H$13:$H$48=Resultat!$J$13:$J$48)*(Resultat!$H$13:$H$48&lt;&gt;""))</f>
        <v>2</v>
      </c>
      <c r="R35" s="54">
        <f>SUMPRODUCT((Resultat!$E$13:$E$48=C35)*(Resultat!$H$13:$H$48))+SUMPRODUCT((Resultat!$G$13:$G$48=C35)*(Resultat!$J$13:$J$48))</f>
        <v>6</v>
      </c>
      <c r="S35" s="54">
        <f>SUMPRODUCT((Resultat!$E$13:$E$48=C35)*(Resultat!$J$13:$J$48))+SUMPRODUCT((Resultat!$G$13:$G$48=C35)*(Resultat!$H$13:$H$48))</f>
        <v>6</v>
      </c>
      <c r="T35" s="54">
        <f>R35-S35</f>
        <v>0</v>
      </c>
    </row>
    <row r="36" spans="2:20" ht="16" x14ac:dyDescent="0.2">
      <c r="B36" s="54">
        <f>SUM(D36:G36)</f>
        <v>3</v>
      </c>
      <c r="C36" s="54" t="s">
        <v>68</v>
      </c>
      <c r="D36" s="54">
        <f>RANK(H36,$H$34:$H$37)</f>
        <v>3</v>
      </c>
      <c r="E36" s="54">
        <f>SUMPRODUCT(($D$34:$D$37=$D36)*($T$34:$T$37&gt;T36))</f>
        <v>0</v>
      </c>
      <c r="F36" s="54">
        <f>SUMPRODUCT(($D$34:$D$37=$D36)*($E$34:$E$37=$E36)*($R$34:$R$37&gt;R36))</f>
        <v>0</v>
      </c>
      <c r="H36" s="52">
        <f>I36*3+K36</f>
        <v>2</v>
      </c>
      <c r="I36" s="54">
        <f>L36+O36</f>
        <v>0</v>
      </c>
      <c r="J36" s="54">
        <f>M36+P36</f>
        <v>0</v>
      </c>
      <c r="K36" s="54">
        <f>N36+Q36</f>
        <v>2</v>
      </c>
      <c r="L36" s="54">
        <f>SUMPRODUCT((Resultat!$E$13:$E$48=C36)*(Resultat!$H$13:$H$48&gt;Resultat!$J$13:$J$48)*(Resultat!$H$13:$H$48&lt;&gt;""))</f>
        <v>0</v>
      </c>
      <c r="M36" s="54">
        <f>SUMPRODUCT((Resultat!$E$13:$E$48=C36)*(Resultat!$H$13:$H$48&lt;Resultat!$J$13:$J$48)*(Resultat!$H$13:$H$48&lt;&gt;""))</f>
        <v>0</v>
      </c>
      <c r="N36" s="54">
        <f>SUMPRODUCT((Resultat!$E$13:$E$48=C36)*(Resultat!$H$13:$H$48=Resultat!$J$13:$J$48)*(Resultat!$H$13:$H$48&lt;&gt;""))</f>
        <v>1</v>
      </c>
      <c r="O36" s="54">
        <f>SUMPRODUCT((Resultat!$G$13:$G$48=C36)*(Resultat!$H$13:$H$48&lt;Resultat!$J$13:$J$48)*(Resultat!$H$13:$H$48&lt;&gt;""))</f>
        <v>0</v>
      </c>
      <c r="P36" s="54">
        <f>SUMPRODUCT((Resultat!$G$13:$G$48=C36)*(Resultat!$H$13:$H$48&gt;Resultat!$J$13:$J$48)*(Resultat!$H$13:$H$48&lt;&gt;""))</f>
        <v>0</v>
      </c>
      <c r="Q36" s="54">
        <f>SUMPRODUCT((Resultat!$G$13:$G$48=C36)*(Resultat!$H$13:$H$48=Resultat!$J$13:$J$48)*(Resultat!$H$13:$H$48&lt;&gt;""))</f>
        <v>1</v>
      </c>
      <c r="R36" s="54">
        <f>SUMPRODUCT((Resultat!$E$13:$E$48=C36)*(Resultat!$H$13:$H$48))+SUMPRODUCT((Resultat!$G$13:$G$48=C36)*(Resultat!$J$13:$J$48))</f>
        <v>4</v>
      </c>
      <c r="S36" s="54">
        <f>SUMPRODUCT((Resultat!$E$13:$E$48=C36)*(Resultat!$J$13:$J$48))+SUMPRODUCT((Resultat!$G$13:$G$48=C36)*(Resultat!$H$13:$H$48))</f>
        <v>4</v>
      </c>
      <c r="T36" s="54">
        <f>R36-S36</f>
        <v>0</v>
      </c>
    </row>
    <row r="37" spans="2:20" ht="16" x14ac:dyDescent="0.2">
      <c r="B37" s="54">
        <f>SUM(D37:G37)</f>
        <v>4</v>
      </c>
      <c r="C37" s="54" t="s">
        <v>44</v>
      </c>
      <c r="D37" s="54">
        <f>RANK(H37,$H$34:$H$37)</f>
        <v>3</v>
      </c>
      <c r="E37" s="54">
        <f>SUMPRODUCT(($D$34:$D$37=$D37)*($T$34:$T$37&gt;T37))</f>
        <v>1</v>
      </c>
      <c r="F37" s="54">
        <f>SUMPRODUCT(($D$34:$D$37=$D37)*($E$34:$E$37=$E37)*($R$34:$R$37&gt;R37))</f>
        <v>0</v>
      </c>
      <c r="H37" s="52">
        <f>I37*3+K37</f>
        <v>2</v>
      </c>
      <c r="I37" s="54">
        <f>L37+O37</f>
        <v>0</v>
      </c>
      <c r="J37" s="54">
        <f>M37+P37</f>
        <v>1</v>
      </c>
      <c r="K37" s="54">
        <f>N37+Q37</f>
        <v>2</v>
      </c>
      <c r="L37" s="54">
        <f>SUMPRODUCT((Resultat!$E$13:$E$48=C37)*(Resultat!$H$13:$H$48&gt;Resultat!$J$13:$J$48)*(Resultat!$H$13:$H$48&lt;&gt;""))</f>
        <v>0</v>
      </c>
      <c r="M37" s="54">
        <f>SUMPRODUCT((Resultat!$E$13:$E$48=C37)*(Resultat!$H$13:$H$48&lt;Resultat!$J$13:$J$48)*(Resultat!$H$13:$H$48&lt;&gt;""))</f>
        <v>1</v>
      </c>
      <c r="N37" s="54">
        <f>SUMPRODUCT((Resultat!$E$13:$E$48=C37)*(Resultat!$H$13:$H$48=Resultat!$J$13:$J$48)*(Resultat!$H$13:$H$48&lt;&gt;""))</f>
        <v>1</v>
      </c>
      <c r="O37" s="54">
        <f>SUMPRODUCT((Resultat!$G$13:$G$48=C37)*(Resultat!$H$13:$H$48&lt;Resultat!$J$13:$J$48)*(Resultat!$H$13:$H$48&lt;&gt;""))</f>
        <v>0</v>
      </c>
      <c r="P37" s="54">
        <f>SUMPRODUCT((Resultat!$G$13:$G$48=C37)*(Resultat!$H$13:$H$48&gt;Resultat!$J$13:$J$48)*(Resultat!$H$13:$H$48&lt;&gt;""))</f>
        <v>0</v>
      </c>
      <c r="Q37" s="54">
        <f>SUMPRODUCT((Resultat!$G$13:$G$48=C37)*(Resultat!$H$13:$H$48=Resultat!$J$13:$J$48)*(Resultat!$H$13:$H$48&lt;&gt;""))</f>
        <v>1</v>
      </c>
      <c r="R37" s="54">
        <f>SUMPRODUCT((Resultat!$E$13:$E$48=C37)*(Resultat!$H$13:$H$48))+SUMPRODUCT((Resultat!$G$13:$G$48=C37)*(Resultat!$J$13:$J$48))</f>
        <v>5</v>
      </c>
      <c r="S37" s="54">
        <f>SUMPRODUCT((Resultat!$E$13:$E$48=C37)*(Resultat!$J$13:$J$48))+SUMPRODUCT((Resultat!$G$13:$G$48=C37)*(Resultat!$H$13:$H$48))</f>
        <v>6</v>
      </c>
      <c r="T37" s="54">
        <f>R37-S37</f>
        <v>-1</v>
      </c>
    </row>
    <row r="39" spans="2:20" ht="13" customHeight="1" x14ac:dyDescent="0.15">
      <c r="B39" s="98" t="s">
        <v>86</v>
      </c>
      <c r="C39" s="98"/>
    </row>
    <row r="40" spans="2:20" ht="13" customHeight="1" x14ac:dyDescent="0.15">
      <c r="B40" s="98"/>
      <c r="C40" s="98"/>
    </row>
    <row r="41" spans="2:20" x14ac:dyDescent="0.15">
      <c r="D41" s="56" t="s">
        <v>75</v>
      </c>
      <c r="E41" s="56"/>
      <c r="F41" s="56"/>
      <c r="G41" s="56"/>
      <c r="H41" s="56"/>
      <c r="I41" s="56"/>
      <c r="J41" s="56"/>
      <c r="K41" s="56"/>
      <c r="L41" s="56" t="s">
        <v>76</v>
      </c>
      <c r="M41" s="56"/>
      <c r="N41" s="56"/>
      <c r="O41" s="56" t="s">
        <v>77</v>
      </c>
      <c r="P41" s="56"/>
      <c r="Q41" s="56"/>
    </row>
    <row r="42" spans="2:20" x14ac:dyDescent="0.15">
      <c r="B42" s="53" t="s">
        <v>130</v>
      </c>
      <c r="C42" s="53" t="s">
        <v>34</v>
      </c>
      <c r="D42" s="53" t="s">
        <v>126</v>
      </c>
      <c r="E42" s="53" t="s">
        <v>127</v>
      </c>
      <c r="F42" s="53" t="s">
        <v>128</v>
      </c>
      <c r="G42" s="53" t="s">
        <v>129</v>
      </c>
      <c r="H42" s="53" t="s">
        <v>79</v>
      </c>
      <c r="I42" s="53" t="s">
        <v>131</v>
      </c>
      <c r="J42" s="53" t="s">
        <v>52</v>
      </c>
      <c r="K42" s="53" t="s">
        <v>132</v>
      </c>
      <c r="L42" s="53" t="s">
        <v>120</v>
      </c>
      <c r="M42" s="53" t="s">
        <v>121</v>
      </c>
      <c r="N42" s="53" t="s">
        <v>122</v>
      </c>
      <c r="O42" s="53" t="s">
        <v>123</v>
      </c>
      <c r="P42" s="53" t="s">
        <v>124</v>
      </c>
      <c r="Q42" s="53" t="s">
        <v>125</v>
      </c>
      <c r="R42" s="53" t="s">
        <v>81</v>
      </c>
      <c r="S42" s="53" t="s">
        <v>82</v>
      </c>
      <c r="T42" s="53" t="s">
        <v>80</v>
      </c>
    </row>
    <row r="43" spans="2:20" ht="16" x14ac:dyDescent="0.2">
      <c r="B43" s="54">
        <f>SUM(D43:G43)</f>
        <v>1</v>
      </c>
      <c r="C43" s="54" t="s">
        <v>69</v>
      </c>
      <c r="D43" s="54">
        <f>RANK(H43,$H$43:$H$46)</f>
        <v>1</v>
      </c>
      <c r="E43" s="54">
        <f>SUMPRODUCT(($D$43:$D$46=$D43)*($T$43:$T$46&gt;T43))</f>
        <v>0</v>
      </c>
      <c r="F43" s="54">
        <f>SUMPRODUCT(($D$43:$D$46=$D43)*($E$43:$E$46=$E43)*($R$43:$R$46&gt;R43))</f>
        <v>0</v>
      </c>
      <c r="H43" s="52">
        <f>I43*3+K43</f>
        <v>6</v>
      </c>
      <c r="I43" s="54">
        <f>L43+O43</f>
        <v>2</v>
      </c>
      <c r="J43" s="54">
        <f>M43+P43</f>
        <v>0</v>
      </c>
      <c r="K43" s="54">
        <f>N43+Q43</f>
        <v>0</v>
      </c>
      <c r="L43" s="54">
        <f>SUMPRODUCT((Resultat!$E$13:$E$48=C43)*(Resultat!$H$13:$H$48&gt;Resultat!$J$13:$J$48)*(Resultat!$H$13:$H$48&lt;&gt;""))</f>
        <v>1</v>
      </c>
      <c r="M43" s="54">
        <f>SUMPRODUCT((Resultat!$E$13:$E$48=C43)*(Resultat!$H$13:$H$48&lt;Resultat!$J$13:$J$48)*(Resultat!$H$13:$H$48&lt;&gt;""))</f>
        <v>0</v>
      </c>
      <c r="N43" s="54">
        <f>SUMPRODUCT((Resultat!$E$13:$E$48=C43)*(Resultat!$H$13:$H$48=Resultat!$J$13:$J$48)*(Resultat!$H$13:$H$48&lt;&gt;""))</f>
        <v>0</v>
      </c>
      <c r="O43" s="54">
        <f>SUMPRODUCT((Resultat!$G$13:$G$48=C43)*(Resultat!$H$13:$H$48&lt;Resultat!$J$13:$J$48)*(Resultat!$H$13:$H$48&lt;&gt;""))</f>
        <v>1</v>
      </c>
      <c r="P43" s="54">
        <f>SUMPRODUCT((Resultat!$G$13:$G$48=C43)*(Resultat!$H$13:$H$48&gt;Resultat!$J$13:$J$48)*(Resultat!$H$13:$H$48&lt;&gt;""))</f>
        <v>0</v>
      </c>
      <c r="Q43" s="54">
        <f>SUMPRODUCT((Resultat!$G$13:$G$48=C43)*(Resultat!$H$13:$H$48=Resultat!$J$13:$J$48)*(Resultat!$H$13:$H$48&lt;&gt;""))</f>
        <v>0</v>
      </c>
      <c r="R43" s="54">
        <f>SUMPRODUCT((Resultat!$E$13:$E$48=C43)*(Resultat!$H$13:$H$48))+SUMPRODUCT((Resultat!$G$13:$G$48=C43)*(Resultat!$J$13:$J$48))</f>
        <v>3</v>
      </c>
      <c r="S43" s="54">
        <f>SUMPRODUCT((Resultat!$E$13:$E$48=C43)*(Resultat!$J$13:$J$48))+SUMPRODUCT((Resultat!$G$13:$G$48=C43)*(Resultat!$H$13:$H$48))</f>
        <v>1</v>
      </c>
      <c r="T43" s="54">
        <f>R43-S43</f>
        <v>2</v>
      </c>
    </row>
    <row r="44" spans="2:20" ht="16" x14ac:dyDescent="0.2">
      <c r="B44" s="54">
        <f>SUM(D44:G44)</f>
        <v>2</v>
      </c>
      <c r="C44" s="54" t="s">
        <v>48</v>
      </c>
      <c r="D44" s="54">
        <f>RANK(H44,$H$43:$H$46)</f>
        <v>2</v>
      </c>
      <c r="E44" s="54">
        <f>SUMPRODUCT(($D$43:$D$46=$D44)*($T$43:$T$46&gt;T44))</f>
        <v>0</v>
      </c>
      <c r="F44" s="54">
        <f>SUMPRODUCT(($D$43:$D$46=$D44)*($E$43:$E$46=$E44)*($R$43:$R$46&gt;R44))</f>
        <v>0</v>
      </c>
      <c r="H44" s="52">
        <f>I44*3+K44</f>
        <v>2</v>
      </c>
      <c r="I44" s="54">
        <f>L44+O44</f>
        <v>0</v>
      </c>
      <c r="J44" s="54">
        <f>M44+P44</f>
        <v>0</v>
      </c>
      <c r="K44" s="54">
        <f>N44+Q44</f>
        <v>2</v>
      </c>
      <c r="L44" s="54">
        <f>SUMPRODUCT((Resultat!$E$13:$E$48=C44)*(Resultat!$H$13:$H$48&gt;Resultat!$J$13:$J$48)*(Resultat!$H$13:$H$48&lt;&gt;""))</f>
        <v>0</v>
      </c>
      <c r="M44" s="54">
        <f>SUMPRODUCT((Resultat!$E$13:$E$48=C44)*(Resultat!$H$13:$H$48&lt;Resultat!$J$13:$J$48)*(Resultat!$H$13:$H$48&lt;&gt;""))</f>
        <v>0</v>
      </c>
      <c r="N44" s="54">
        <f>SUMPRODUCT((Resultat!$E$13:$E$48=C44)*(Resultat!$H$13:$H$48=Resultat!$J$13:$J$48)*(Resultat!$H$13:$H$48&lt;&gt;""))</f>
        <v>1</v>
      </c>
      <c r="O44" s="54">
        <f>SUMPRODUCT((Resultat!$G$13:$G$48=C44)*(Resultat!$H$13:$H$48&lt;Resultat!$J$13:$J$48)*(Resultat!$H$13:$H$48&lt;&gt;""))</f>
        <v>0</v>
      </c>
      <c r="P44" s="54">
        <f>SUMPRODUCT((Resultat!$G$13:$G$48=C44)*(Resultat!$H$13:$H$48&gt;Resultat!$J$13:$J$48)*(Resultat!$H$13:$H$48&lt;&gt;""))</f>
        <v>0</v>
      </c>
      <c r="Q44" s="54">
        <f>SUMPRODUCT((Resultat!$G$13:$G$48=C44)*(Resultat!$H$13:$H$48=Resultat!$J$13:$J$48)*(Resultat!$H$13:$H$48&lt;&gt;""))</f>
        <v>1</v>
      </c>
      <c r="R44" s="54">
        <f>SUMPRODUCT((Resultat!$E$13:$E$48=C44)*(Resultat!$H$13:$H$48))+SUMPRODUCT((Resultat!$G$13:$G$48=C44)*(Resultat!$J$13:$J$48))</f>
        <v>2</v>
      </c>
      <c r="S44" s="54">
        <f>SUMPRODUCT((Resultat!$E$13:$E$48=C44)*(Resultat!$J$13:$J$48))+SUMPRODUCT((Resultat!$G$13:$G$48=C44)*(Resultat!$H$13:$H$48))</f>
        <v>2</v>
      </c>
      <c r="T44" s="54">
        <f>R44-S44</f>
        <v>0</v>
      </c>
    </row>
    <row r="45" spans="2:20" ht="16" x14ac:dyDescent="0.2">
      <c r="B45" s="54">
        <f>SUM(D45:G45)</f>
        <v>3</v>
      </c>
      <c r="C45" s="54" t="s">
        <v>55</v>
      </c>
      <c r="D45" s="54">
        <f>RANK(H45,$H$43:$H$46)</f>
        <v>3</v>
      </c>
      <c r="E45" s="54">
        <f>SUMPRODUCT(($D$43:$D$46=$D45)*($T$43:$T$46&gt;T45))</f>
        <v>0</v>
      </c>
      <c r="F45" s="54">
        <f>SUMPRODUCT(($D$43:$D$46=$D45)*($E$43:$E$46=$E45)*($R$43:$R$46&gt;R45))</f>
        <v>0</v>
      </c>
      <c r="H45" s="52">
        <f>I45*3+K45</f>
        <v>1</v>
      </c>
      <c r="I45" s="54">
        <f>L45+O45</f>
        <v>0</v>
      </c>
      <c r="J45" s="54">
        <f>M45+P45</f>
        <v>1</v>
      </c>
      <c r="K45" s="54">
        <f>N45+Q45</f>
        <v>1</v>
      </c>
      <c r="L45" s="54">
        <f>SUMPRODUCT((Resultat!$E$13:$E$48=C45)*(Resultat!$H$13:$H$48&gt;Resultat!$J$13:$J$48)*(Resultat!$H$13:$H$48&lt;&gt;""))</f>
        <v>0</v>
      </c>
      <c r="M45" s="54">
        <f>SUMPRODUCT((Resultat!$E$13:$E$48=C45)*(Resultat!$H$13:$H$48&lt;Resultat!$J$13:$J$48)*(Resultat!$H$13:$H$48&lt;&gt;""))</f>
        <v>1</v>
      </c>
      <c r="N45" s="54">
        <f>SUMPRODUCT((Resultat!$E$13:$E$48=C45)*(Resultat!$H$13:$H$48=Resultat!$J$13:$J$48)*(Resultat!$H$13:$H$48&lt;&gt;""))</f>
        <v>1</v>
      </c>
      <c r="O45" s="54">
        <f>SUMPRODUCT((Resultat!$G$13:$G$48=C45)*(Resultat!$H$13:$H$48&lt;Resultat!$J$13:$J$48)*(Resultat!$H$13:$H$48&lt;&gt;""))</f>
        <v>0</v>
      </c>
      <c r="P45" s="54">
        <f>SUMPRODUCT((Resultat!$G$13:$G$48=C45)*(Resultat!$H$13:$H$48&gt;Resultat!$J$13:$J$48)*(Resultat!$H$13:$H$48&lt;&gt;""))</f>
        <v>0</v>
      </c>
      <c r="Q45" s="54">
        <f>SUMPRODUCT((Resultat!$G$13:$G$48=C45)*(Resultat!$H$13:$H$48=Resultat!$J$13:$J$48)*(Resultat!$H$13:$H$48&lt;&gt;""))</f>
        <v>0</v>
      </c>
      <c r="R45" s="54">
        <f>SUMPRODUCT((Resultat!$E$13:$E$48=C45)*(Resultat!$H$13:$H$48))+SUMPRODUCT((Resultat!$G$13:$G$48=C45)*(Resultat!$J$13:$J$48))</f>
        <v>2</v>
      </c>
      <c r="S45" s="54">
        <f>SUMPRODUCT((Resultat!$E$13:$E$48=C45)*(Resultat!$J$13:$J$48))+SUMPRODUCT((Resultat!$G$13:$G$48=C45)*(Resultat!$H$13:$H$48))</f>
        <v>3</v>
      </c>
      <c r="T45" s="54">
        <f>R45-S45</f>
        <v>-1</v>
      </c>
    </row>
    <row r="46" spans="2:20" ht="16" x14ac:dyDescent="0.2">
      <c r="B46" s="54">
        <f>SUM(D46:G46)</f>
        <v>4</v>
      </c>
      <c r="C46" s="54" t="s">
        <v>70</v>
      </c>
      <c r="D46" s="54">
        <f>RANK(H46,$H$43:$H$46)</f>
        <v>3</v>
      </c>
      <c r="E46" s="54">
        <f>SUMPRODUCT(($D$43:$D$46=$D46)*($T$43:$T$46&gt;T46))</f>
        <v>0</v>
      </c>
      <c r="F46" s="54">
        <f>SUMPRODUCT(($D$43:$D$46=$D46)*($E$43:$E$46=$E46)*($R$43:$R$46&gt;R46))</f>
        <v>1</v>
      </c>
      <c r="H46" s="52">
        <f>I46*3+K46</f>
        <v>1</v>
      </c>
      <c r="I46" s="54">
        <f>L46+O46</f>
        <v>0</v>
      </c>
      <c r="J46" s="54">
        <f>M46+P46</f>
        <v>1</v>
      </c>
      <c r="K46" s="54">
        <f>N46+Q46</f>
        <v>1</v>
      </c>
      <c r="L46" s="54">
        <f>SUMPRODUCT((Resultat!$E$13:$E$48=C46)*(Resultat!$H$13:$H$48&gt;Resultat!$J$13:$J$48)*(Resultat!$H$13:$H$48&lt;&gt;""))</f>
        <v>0</v>
      </c>
      <c r="M46" s="54">
        <f>SUMPRODUCT((Resultat!$E$13:$E$48=C46)*(Resultat!$H$13:$H$48&lt;Resultat!$J$13:$J$48)*(Resultat!$H$13:$H$48&lt;&gt;""))</f>
        <v>0</v>
      </c>
      <c r="N46" s="54">
        <f>SUMPRODUCT((Resultat!$E$13:$E$48=C46)*(Resultat!$H$13:$H$48=Resultat!$J$13:$J$48)*(Resultat!$H$13:$H$48&lt;&gt;""))</f>
        <v>0</v>
      </c>
      <c r="O46" s="54">
        <f>SUMPRODUCT((Resultat!$G$13:$G$48=C46)*(Resultat!$H$13:$H$48&lt;Resultat!$J$13:$J$48)*(Resultat!$H$13:$H$48&lt;&gt;""))</f>
        <v>0</v>
      </c>
      <c r="P46" s="54">
        <f>SUMPRODUCT((Resultat!$G$13:$G$48=C46)*(Resultat!$H$13:$H$48&gt;Resultat!$J$13:$J$48)*(Resultat!$H$13:$H$48&lt;&gt;""))</f>
        <v>1</v>
      </c>
      <c r="Q46" s="54">
        <f>SUMPRODUCT((Resultat!$G$13:$G$48=C46)*(Resultat!$H$13:$H$48=Resultat!$J$13:$J$48)*(Resultat!$H$13:$H$48&lt;&gt;""))</f>
        <v>1</v>
      </c>
      <c r="R46" s="54">
        <f>SUMPRODUCT((Resultat!$E$13:$E$48=C46)*(Resultat!$H$13:$H$48))+SUMPRODUCT((Resultat!$G$13:$G$48=C46)*(Resultat!$J$13:$J$48))</f>
        <v>1</v>
      </c>
      <c r="S46" s="54">
        <f>SUMPRODUCT((Resultat!$E$13:$E$48=C46)*(Resultat!$J$13:$J$48))+SUMPRODUCT((Resultat!$G$13:$G$48=C46)*(Resultat!$H$13:$H$48))</f>
        <v>2</v>
      </c>
      <c r="T46" s="54">
        <f>R46-S46</f>
        <v>-1</v>
      </c>
    </row>
    <row r="48" spans="2:20" ht="13" customHeight="1" x14ac:dyDescent="0.15">
      <c r="B48" s="98" t="s">
        <v>87</v>
      </c>
      <c r="C48" s="98"/>
    </row>
    <row r="49" spans="2:20" ht="13" customHeight="1" x14ac:dyDescent="0.15">
      <c r="B49" s="98"/>
      <c r="C49" s="98"/>
    </row>
    <row r="50" spans="2:20" x14ac:dyDescent="0.15">
      <c r="D50" s="56" t="s">
        <v>75</v>
      </c>
      <c r="E50" s="56"/>
      <c r="F50" s="56"/>
      <c r="G50" s="56"/>
      <c r="H50" s="56"/>
      <c r="I50" s="56"/>
      <c r="J50" s="56"/>
      <c r="K50" s="56"/>
      <c r="L50" s="56" t="s">
        <v>76</v>
      </c>
      <c r="M50" s="56"/>
      <c r="N50" s="56"/>
      <c r="O50" s="56" t="s">
        <v>77</v>
      </c>
      <c r="P50" s="56"/>
      <c r="Q50" s="56"/>
    </row>
    <row r="51" spans="2:20" x14ac:dyDescent="0.15">
      <c r="B51" s="53" t="s">
        <v>130</v>
      </c>
      <c r="C51" s="53" t="s">
        <v>34</v>
      </c>
      <c r="D51" s="53" t="s">
        <v>126</v>
      </c>
      <c r="E51" s="53" t="s">
        <v>127</v>
      </c>
      <c r="F51" s="53" t="s">
        <v>128</v>
      </c>
      <c r="G51" s="53" t="s">
        <v>129</v>
      </c>
      <c r="H51" s="53" t="s">
        <v>79</v>
      </c>
      <c r="I51" s="53" t="s">
        <v>131</v>
      </c>
      <c r="J51" s="53" t="s">
        <v>52</v>
      </c>
      <c r="K51" s="53" t="s">
        <v>132</v>
      </c>
      <c r="L51" s="53" t="s">
        <v>120</v>
      </c>
      <c r="M51" s="53" t="s">
        <v>121</v>
      </c>
      <c r="N51" s="53" t="s">
        <v>122</v>
      </c>
      <c r="O51" s="53" t="s">
        <v>123</v>
      </c>
      <c r="P51" s="53" t="s">
        <v>124</v>
      </c>
      <c r="Q51" s="53" t="s">
        <v>125</v>
      </c>
      <c r="R51" s="53" t="s">
        <v>81</v>
      </c>
      <c r="S51" s="53" t="s">
        <v>82</v>
      </c>
      <c r="T51" s="53" t="s">
        <v>80</v>
      </c>
    </row>
    <row r="52" spans="2:20" ht="16" x14ac:dyDescent="0.2">
      <c r="B52" s="54">
        <f>SUM(D52:G52)</f>
        <v>1</v>
      </c>
      <c r="C52" s="54" t="s">
        <v>71</v>
      </c>
      <c r="D52" s="54">
        <f>RANK(H52,$H$52:$H$55)</f>
        <v>1</v>
      </c>
      <c r="E52" s="54">
        <f>SUMPRODUCT(($D$52:$D$55=$D52)*($T$52:$T$55&gt;T52))</f>
        <v>0</v>
      </c>
      <c r="F52" s="54">
        <f>SUMPRODUCT(($D$52:$D$55=$D52)*($E$52:$E$55=$E52)*($R$52:$R$55&gt;R52))</f>
        <v>0</v>
      </c>
      <c r="H52" s="52">
        <f>I52*3+K52</f>
        <v>6</v>
      </c>
      <c r="I52" s="54">
        <f>L52+O52</f>
        <v>2</v>
      </c>
      <c r="J52" s="54">
        <f>M52+P52</f>
        <v>0</v>
      </c>
      <c r="K52" s="54">
        <f>N52+Q52</f>
        <v>0</v>
      </c>
      <c r="L52" s="54">
        <f>SUMPRODUCT((Resultat!$E$13:$E$48=C52)*(Resultat!$H$13:$H$48&gt;Resultat!$J$13:$J$48)*(Resultat!$H$13:$H$48&lt;&gt;""))</f>
        <v>1</v>
      </c>
      <c r="M52" s="54">
        <f>SUMPRODUCT((Resultat!$E$13:$E$48=C52)*(Resultat!$H$13:$H$48&lt;Resultat!$J$13:$J$48)*(Resultat!$H$13:$H$48&lt;&gt;""))</f>
        <v>0</v>
      </c>
      <c r="N52" s="54">
        <f>SUMPRODUCT((Resultat!$E$13:$E$48=C52)*(Resultat!$H$13:$H$48=Resultat!$J$13:$J$48)*(Resultat!$H$13:$H$48&lt;&gt;""))</f>
        <v>0</v>
      </c>
      <c r="O52" s="54">
        <f>SUMPRODUCT((Resultat!$G$13:$G$48=C52)*(Resultat!$H$13:$H$48&lt;Resultat!$J$13:$J$48)*(Resultat!$H$13:$H$48&lt;&gt;""))</f>
        <v>1</v>
      </c>
      <c r="P52" s="54">
        <f>SUMPRODUCT((Resultat!$G$13:$G$48=C52)*(Resultat!$H$13:$H$48&gt;Resultat!$J$13:$J$48)*(Resultat!$H$13:$H$48&lt;&gt;""))</f>
        <v>0</v>
      </c>
      <c r="Q52" s="54">
        <f>SUMPRODUCT((Resultat!$G$13:$G$48=C52)*(Resultat!$H$13:$H$48=Resultat!$J$13:$J$48)*(Resultat!$H$13:$H$48&lt;&gt;""))</f>
        <v>0</v>
      </c>
      <c r="R52" s="54">
        <f>SUMPRODUCT((Resultat!$E$13:$E$48=C52)*(Resultat!$H$13:$H$48))+SUMPRODUCT((Resultat!$G$13:$G$48=C52)*(Resultat!$J$13:$J$48))</f>
        <v>4</v>
      </c>
      <c r="S52" s="54">
        <f>SUMPRODUCT((Resultat!$E$13:$E$48=C52)*(Resultat!$J$13:$J$48))+SUMPRODUCT((Resultat!$G$13:$G$48=C52)*(Resultat!$H$13:$H$48))</f>
        <v>1</v>
      </c>
      <c r="T52" s="54">
        <f>R52-S52</f>
        <v>3</v>
      </c>
    </row>
    <row r="53" spans="2:20" ht="16" x14ac:dyDescent="0.2">
      <c r="B53" s="54">
        <f>SUM(D53:G53)</f>
        <v>2</v>
      </c>
      <c r="C53" s="54" t="s">
        <v>73</v>
      </c>
      <c r="D53" s="54">
        <f>RANK(H53,$H$52:$H$55)</f>
        <v>2</v>
      </c>
      <c r="E53" s="54">
        <f>SUMPRODUCT(($D$52:$D$55=$D53)*($T$52:$T$55&gt;T53))</f>
        <v>0</v>
      </c>
      <c r="F53" s="54">
        <f>SUMPRODUCT(($D$52:$D$55=$D53)*($E$52:$E$55=$E53)*($R$52:$R$55&gt;R53))</f>
        <v>0</v>
      </c>
      <c r="H53" s="52">
        <f>I53*3+K53</f>
        <v>4</v>
      </c>
      <c r="I53" s="54">
        <f>L53+O53</f>
        <v>1</v>
      </c>
      <c r="J53" s="54">
        <f>M53+P53</f>
        <v>0</v>
      </c>
      <c r="K53" s="54">
        <f>N53+Q53</f>
        <v>1</v>
      </c>
      <c r="L53" s="54">
        <f>SUMPRODUCT((Resultat!$E$13:$E$48=C53)*(Resultat!$H$13:$H$48&gt;Resultat!$J$13:$J$48)*(Resultat!$H$13:$H$48&lt;&gt;""))</f>
        <v>0</v>
      </c>
      <c r="M53" s="54">
        <f>SUMPRODUCT((Resultat!$E$13:$E$48=C53)*(Resultat!$H$13:$H$48&lt;Resultat!$J$13:$J$48)*(Resultat!$H$13:$H$48&lt;&gt;""))</f>
        <v>0</v>
      </c>
      <c r="N53" s="54">
        <f>SUMPRODUCT((Resultat!$E$13:$E$48=C53)*(Resultat!$H$13:$H$48=Resultat!$J$13:$J$48)*(Resultat!$H$13:$H$48&lt;&gt;""))</f>
        <v>1</v>
      </c>
      <c r="O53" s="54">
        <f>SUMPRODUCT((Resultat!$G$13:$G$48=C53)*(Resultat!$H$13:$H$48&lt;Resultat!$J$13:$J$48)*(Resultat!$H$13:$H$48&lt;&gt;""))</f>
        <v>1</v>
      </c>
      <c r="P53" s="54">
        <f>SUMPRODUCT((Resultat!$G$13:$G$48=C53)*(Resultat!$H$13:$H$48&gt;Resultat!$J$13:$J$48)*(Resultat!$H$13:$H$48&lt;&gt;""))</f>
        <v>0</v>
      </c>
      <c r="Q53" s="54">
        <f>SUMPRODUCT((Resultat!$G$13:$G$48=C53)*(Resultat!$H$13:$H$48=Resultat!$J$13:$J$48)*(Resultat!$H$13:$H$48&lt;&gt;""))</f>
        <v>0</v>
      </c>
      <c r="R53" s="54">
        <f>SUMPRODUCT((Resultat!$E$13:$E$48=C53)*(Resultat!$H$13:$H$48))+SUMPRODUCT((Resultat!$G$13:$G$48=C53)*(Resultat!$J$13:$J$48))</f>
        <v>3</v>
      </c>
      <c r="S53" s="54">
        <f>SUMPRODUCT((Resultat!$E$13:$E$48=C53)*(Resultat!$J$13:$J$48))+SUMPRODUCT((Resultat!$G$13:$G$48=C53)*(Resultat!$H$13:$H$48))</f>
        <v>2</v>
      </c>
      <c r="T53" s="54">
        <f>R53-S53</f>
        <v>1</v>
      </c>
    </row>
    <row r="54" spans="2:20" ht="16" x14ac:dyDescent="0.2">
      <c r="B54" s="54">
        <f>SUM(D54:G54)</f>
        <v>3</v>
      </c>
      <c r="C54" s="54" t="s">
        <v>72</v>
      </c>
      <c r="D54" s="54">
        <f>RANK(H54,$H$52:$H$55)</f>
        <v>3</v>
      </c>
      <c r="E54" s="54">
        <f>SUMPRODUCT(($D$52:$D$55=$D54)*($T$52:$T$55&gt;T54))</f>
        <v>0</v>
      </c>
      <c r="F54" s="54">
        <f>SUMPRODUCT(($D$52:$D$55=$D54)*($E$52:$E$55=$E54)*($R$52:$R$55&gt;R54))</f>
        <v>0</v>
      </c>
      <c r="H54" s="52">
        <f>I54*3+K54</f>
        <v>1</v>
      </c>
      <c r="I54" s="54">
        <f>L54+O54</f>
        <v>0</v>
      </c>
      <c r="J54" s="54">
        <f>M54+P54</f>
        <v>1</v>
      </c>
      <c r="K54" s="54">
        <f>N54+Q54</f>
        <v>1</v>
      </c>
      <c r="L54" s="54">
        <f>SUMPRODUCT((Resultat!$E$13:$E$48=C54)*(Resultat!$H$13:$H$48&gt;Resultat!$J$13:$J$48)*(Resultat!$H$13:$H$48&lt;&gt;""))</f>
        <v>0</v>
      </c>
      <c r="M54" s="54">
        <f>SUMPRODUCT((Resultat!$E$13:$E$48=C54)*(Resultat!$H$13:$H$48&lt;Resultat!$J$13:$J$48)*(Resultat!$H$13:$H$48&lt;&gt;""))</f>
        <v>0</v>
      </c>
      <c r="N54" s="54">
        <f>SUMPRODUCT((Resultat!$E$13:$E$48=C54)*(Resultat!$H$13:$H$48=Resultat!$J$13:$J$48)*(Resultat!$H$13:$H$48&lt;&gt;""))</f>
        <v>0</v>
      </c>
      <c r="O54" s="54">
        <f>SUMPRODUCT((Resultat!$G$13:$G$48=C54)*(Resultat!$H$13:$H$48&lt;Resultat!$J$13:$J$48)*(Resultat!$H$13:$H$48&lt;&gt;""))</f>
        <v>0</v>
      </c>
      <c r="P54" s="54">
        <f>SUMPRODUCT((Resultat!$G$13:$G$48=C54)*(Resultat!$H$13:$H$48&gt;Resultat!$J$13:$J$48)*(Resultat!$H$13:$H$48&lt;&gt;""))</f>
        <v>1</v>
      </c>
      <c r="Q54" s="54">
        <f>SUMPRODUCT((Resultat!$G$13:$G$48=C54)*(Resultat!$H$13:$H$48=Resultat!$J$13:$J$48)*(Resultat!$H$13:$H$48&lt;&gt;""))</f>
        <v>1</v>
      </c>
      <c r="R54" s="54">
        <f>SUMPRODUCT((Resultat!$E$13:$E$48=C54)*(Resultat!$H$13:$H$48))+SUMPRODUCT((Resultat!$G$13:$G$48=C54)*(Resultat!$J$13:$J$48))</f>
        <v>1</v>
      </c>
      <c r="S54" s="54">
        <f>SUMPRODUCT((Resultat!$E$13:$E$48=C54)*(Resultat!$J$13:$J$48))+SUMPRODUCT((Resultat!$G$13:$G$48=C54)*(Resultat!$H$13:$H$48))</f>
        <v>3</v>
      </c>
      <c r="T54" s="54">
        <f>R54-S54</f>
        <v>-2</v>
      </c>
    </row>
    <row r="55" spans="2:20" ht="16" x14ac:dyDescent="0.2">
      <c r="B55" s="54">
        <f>SUM(D55:G55)</f>
        <v>4</v>
      </c>
      <c r="C55" s="54" t="s">
        <v>54</v>
      </c>
      <c r="D55" s="54">
        <f>RANK(H55,$H$52:$H$55)</f>
        <v>4</v>
      </c>
      <c r="E55" s="54">
        <f>SUMPRODUCT(($D$52:$D$55=$D55)*($T$52:$T$55&gt;T55))</f>
        <v>0</v>
      </c>
      <c r="F55" s="54">
        <f>SUMPRODUCT(($D$52:$D$55=$D55)*($E$52:$E$55=$E55)*($R$52:$R$55&gt;R55))</f>
        <v>0</v>
      </c>
      <c r="H55" s="52">
        <f>I55*3+K55</f>
        <v>0</v>
      </c>
      <c r="I55" s="54">
        <f>L55+O55</f>
        <v>0</v>
      </c>
      <c r="J55" s="54">
        <f>M55+P55</f>
        <v>2</v>
      </c>
      <c r="K55" s="54">
        <f>N55+Q55</f>
        <v>0</v>
      </c>
      <c r="L55" s="54">
        <f>SUMPRODUCT((Resultat!$E$13:$E$48=C55)*(Resultat!$H$13:$H$48&gt;Resultat!$J$13:$J$48)*(Resultat!$H$13:$H$48&lt;&gt;""))</f>
        <v>0</v>
      </c>
      <c r="M55" s="54">
        <f>SUMPRODUCT((Resultat!$E$13:$E$48=C55)*(Resultat!$H$13:$H$48&lt;Resultat!$J$13:$J$48)*(Resultat!$H$13:$H$48&lt;&gt;""))</f>
        <v>2</v>
      </c>
      <c r="N55" s="54">
        <f>SUMPRODUCT((Resultat!$E$13:$E$48=C55)*(Resultat!$H$13:$H$48=Resultat!$J$13:$J$48)*(Resultat!$H$13:$H$48&lt;&gt;""))</f>
        <v>0</v>
      </c>
      <c r="O55" s="54">
        <f>SUMPRODUCT((Resultat!$G$13:$G$48=C55)*(Resultat!$H$13:$H$48&lt;Resultat!$J$13:$J$48)*(Resultat!$H$13:$H$48&lt;&gt;""))</f>
        <v>0</v>
      </c>
      <c r="P55" s="54">
        <f>SUMPRODUCT((Resultat!$G$13:$G$48=C55)*(Resultat!$H$13:$H$48&gt;Resultat!$J$13:$J$48)*(Resultat!$H$13:$H$48&lt;&gt;""))</f>
        <v>0</v>
      </c>
      <c r="Q55" s="54">
        <f>SUMPRODUCT((Resultat!$G$13:$G$48=C55)*(Resultat!$H$13:$H$48=Resultat!$J$13:$J$48)*(Resultat!$H$13:$H$48&lt;&gt;""))</f>
        <v>0</v>
      </c>
      <c r="R55" s="54">
        <f>SUMPRODUCT((Resultat!$E$13:$E$48=C55)*(Resultat!$H$13:$H$48))+SUMPRODUCT((Resultat!$G$13:$G$48=C55)*(Resultat!$J$13:$J$48))</f>
        <v>2</v>
      </c>
      <c r="S55" s="54">
        <f>SUMPRODUCT((Resultat!$E$13:$E$48=C55)*(Resultat!$J$13:$J$48))+SUMPRODUCT((Resultat!$G$13:$G$48=C55)*(Resultat!$H$13:$H$48))</f>
        <v>4</v>
      </c>
      <c r="T55" s="54">
        <f>R55-S55</f>
        <v>-2</v>
      </c>
    </row>
    <row r="57" spans="2:20" ht="13" customHeight="1" x14ac:dyDescent="0.2">
      <c r="B57" s="55"/>
      <c r="C57" s="55"/>
    </row>
    <row r="58" spans="2:20" ht="13" customHeight="1" x14ac:dyDescent="0.2">
      <c r="B58" s="55"/>
      <c r="C58" s="55"/>
    </row>
    <row r="59" spans="2:20" x14ac:dyDescent="0.15"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</row>
    <row r="60" spans="2:20" x14ac:dyDescent="0.15"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</row>
    <row r="66" spans="2:20" ht="13" customHeight="1" x14ac:dyDescent="0.2">
      <c r="B66" s="55"/>
      <c r="C66" s="55"/>
    </row>
    <row r="67" spans="2:20" ht="13" customHeight="1" x14ac:dyDescent="0.2">
      <c r="B67" s="55"/>
      <c r="C67" s="55"/>
    </row>
    <row r="68" spans="2:20" x14ac:dyDescent="0.15"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</row>
    <row r="69" spans="2:20" x14ac:dyDescent="0.15"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</row>
  </sheetData>
  <dataConsolidate/>
  <mergeCells count="6">
    <mergeCell ref="B48:C49"/>
    <mergeCell ref="B30:C31"/>
    <mergeCell ref="B39:C40"/>
    <mergeCell ref="B21:C22"/>
    <mergeCell ref="B3:C4"/>
    <mergeCell ref="B12:C13"/>
  </mergeCells>
  <phoneticPr fontId="15" type="noConversion"/>
  <pageMargins left="0.7" right="0.7" top="0.75" bottom="0.75" header="0.3" footer="0.3"/>
  <pageSetup paperSize="9" orientation="landscape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 enableFormatConditionsCalculation="0">
    <pageSetUpPr autoPageBreaks="0"/>
  </sheetPr>
  <dimension ref="B5:BB30"/>
  <sheetViews>
    <sheetView workbookViewId="0">
      <pane xSplit="2" ySplit="30" topLeftCell="C31" activePane="bottomRight" state="frozen"/>
      <selection pane="topRight" activeCell="C1" sqref="C1"/>
      <selection pane="bottomLeft" activeCell="A31" sqref="A31"/>
      <selection pane="bottomRight" activeCell="B23" sqref="B23:BB27"/>
    </sheetView>
  </sheetViews>
  <sheetFormatPr baseColWidth="10" defaultRowHeight="16" x14ac:dyDescent="0.2"/>
  <cols>
    <col min="2" max="3" width="11.1640625" customWidth="1"/>
    <col min="4" max="4" width="21.33203125" bestFit="1" customWidth="1"/>
    <col min="5" max="5" width="19.1640625" bestFit="1" customWidth="1"/>
    <col min="6" max="10" width="11.1640625" customWidth="1"/>
    <col min="11" max="11" width="12.1640625" customWidth="1"/>
    <col min="12" max="54" width="12" customWidth="1"/>
  </cols>
  <sheetData>
    <row r="5" spans="2:54" x14ac:dyDescent="0.2">
      <c r="B5" t="s">
        <v>119</v>
      </c>
      <c r="D5" t="str">
        <f ca="1">(OFFSET(Resultat!$E$13,COLUMN()-4,0)&amp;" "&amp;OFFSET(Resultat!$H$13,COLUMN()-4,0)&amp;" - "&amp;OFFSET(Resultat!$J$13,COLUMN()-4,0)&amp;" "&amp;OFFSET(Resultat!$G$13,COLUMN()-4,0))</f>
        <v>Frankrike 2 - 4 Rumänien</v>
      </c>
      <c r="E5" t="str">
        <f ca="1">(OFFSET(Resultat!$E$13,COLUMN()-4,0)&amp;" "&amp;OFFSET(Resultat!$H$13,COLUMN()-4,0)&amp;" - "&amp;OFFSET(Resultat!$J$13,COLUMN()-4,0)&amp;" "&amp;OFFSET(Resultat!$G$13,COLUMN()-4,0))</f>
        <v>Albanien 1 - 0 Schweiz</v>
      </c>
      <c r="F5" t="str">
        <f ca="1">(OFFSET(Resultat!$E$13,COLUMN()-4,0)&amp;" "&amp;OFFSET(Resultat!$H$13,COLUMN()-4,0)&amp;" - "&amp;OFFSET(Resultat!$J$13,COLUMN()-4,0)&amp;" "&amp;OFFSET(Resultat!$G$13,COLUMN()-4,0))</f>
        <v>Wales 2 - 2 Slovakien</v>
      </c>
      <c r="G5" t="str">
        <f ca="1">(OFFSET(Resultat!$E$13,COLUMN()-4,0)&amp;" "&amp;OFFSET(Resultat!$H$13,COLUMN()-4,0)&amp;" - "&amp;OFFSET(Resultat!$J$13,COLUMN()-4,0)&amp;" "&amp;OFFSET(Resultat!$G$13,COLUMN()-4,0))</f>
        <v>England 1 - 0 Ryssland</v>
      </c>
      <c r="H5" t="str">
        <f ca="1">(OFFSET(Resultat!$E$13,COLUMN()-4,0)&amp;" "&amp;OFFSET(Resultat!$H$13,COLUMN()-4,0)&amp;" - "&amp;OFFSET(Resultat!$J$13,COLUMN()-4,0)&amp;" "&amp;OFFSET(Resultat!$G$13,COLUMN()-4,0))</f>
        <v>Turkiet 2 - 2 Kroatien</v>
      </c>
      <c r="I5" t="str">
        <f ca="1">(OFFSET(Resultat!$E$13,COLUMN()-4,0)&amp;" "&amp;OFFSET(Resultat!$H$13,COLUMN()-4,0)&amp;" - "&amp;OFFSET(Resultat!$J$13,COLUMN()-4,0)&amp;" "&amp;OFFSET(Resultat!$G$13,COLUMN()-4,0))</f>
        <v>Polen 1 - 0 Nordirland</v>
      </c>
      <c r="J5" t="str">
        <f ca="1">(OFFSET(Resultat!$E$13,COLUMN()-4,0)&amp;" "&amp;OFFSET(Resultat!$H$13,COLUMN()-4,0)&amp;" - "&amp;OFFSET(Resultat!$J$13,COLUMN()-4,0)&amp;" "&amp;OFFSET(Resultat!$G$13,COLUMN()-4,0))</f>
        <v>Tyskland 1 - 0 Ukraina</v>
      </c>
      <c r="K5" t="str">
        <f ca="1">(OFFSET(Resultat!$E$13,COLUMN()-4,0)&amp;" "&amp;OFFSET(Resultat!$H$13,COLUMN()-4,0)&amp;" - "&amp;OFFSET(Resultat!$J$13,COLUMN()-4,0)&amp;" "&amp;OFFSET(Resultat!$G$13,COLUMN()-4,0))</f>
        <v>Spanien 2 - 2 Tjeckien</v>
      </c>
      <c r="L5" t="str">
        <f ca="1">(OFFSET(Resultat!$E$13,COLUMN()-4,0)&amp;" "&amp;OFFSET(Resultat!$H$13,COLUMN()-4,0)&amp;" - "&amp;OFFSET(Resultat!$J$13,COLUMN()-4,0)&amp;" "&amp;OFFSET(Resultat!$G$13,COLUMN()-4,0))</f>
        <v>Irland 1 - 0 Sverige</v>
      </c>
      <c r="M5" t="str">
        <f ca="1">(OFFSET(Resultat!$E$13,COLUMN()-4,0)&amp;" "&amp;OFFSET(Resultat!$H$13,COLUMN()-4,0)&amp;" - "&amp;OFFSET(Resultat!$J$13,COLUMN()-4,0)&amp;" "&amp;OFFSET(Resultat!$G$13,COLUMN()-4,0))</f>
        <v>Belgien 1 - 1 Italien</v>
      </c>
      <c r="N5" t="str">
        <f ca="1">(OFFSET(Resultat!$E$13,COLUMN()-4,0)&amp;" "&amp;OFFSET(Resultat!$H$13,COLUMN()-4,0)&amp;" - "&amp;OFFSET(Resultat!$J$13,COLUMN()-4,0)&amp;" "&amp;OFFSET(Resultat!$G$13,COLUMN()-4,0))</f>
        <v>Österrike 2 - 0 Ungern</v>
      </c>
      <c r="O5" t="str">
        <f ca="1">(OFFSET(Resultat!$E$13,COLUMN()-4,0)&amp;" "&amp;OFFSET(Resultat!$H$13,COLUMN()-4,0)&amp;" - "&amp;OFFSET(Resultat!$J$13,COLUMN()-4,0)&amp;" "&amp;OFFSET(Resultat!$G$13,COLUMN()-4,0))</f>
        <v>Portugal 1 - 2 Island</v>
      </c>
      <c r="P5" t="str">
        <f ca="1">(OFFSET(Resultat!$E$13,COLUMN()-4,0)&amp;" "&amp;OFFSET(Resultat!$H$13,COLUMN()-4,0)&amp;" - "&amp;OFFSET(Resultat!$J$13,COLUMN()-4,0)&amp;" "&amp;OFFSET(Resultat!$G$13,COLUMN()-4,0))</f>
        <v>Ryssland 1 - 1 Slovakien</v>
      </c>
      <c r="Q5" t="str">
        <f ca="1">(OFFSET(Resultat!$E$13,COLUMN()-4,0)&amp;" "&amp;OFFSET(Resultat!$H$13,COLUMN()-4,0)&amp;" - "&amp;OFFSET(Resultat!$J$13,COLUMN()-4,0)&amp;" "&amp;OFFSET(Resultat!$G$13,COLUMN()-4,0))</f>
        <v>Rumänien 3 - 2 Schweiz</v>
      </c>
      <c r="R5" t="str">
        <f ca="1">(OFFSET(Resultat!$E$13,COLUMN()-4,0)&amp;" "&amp;OFFSET(Resultat!$H$13,COLUMN()-4,0)&amp;" - "&amp;OFFSET(Resultat!$J$13,COLUMN()-4,0)&amp;" "&amp;OFFSET(Resultat!$G$13,COLUMN()-4,0))</f>
        <v>Frankrike 2 - 1 Albanien</v>
      </c>
      <c r="S5" t="str">
        <f ca="1">(OFFSET(Resultat!$E$13,COLUMN()-4,0)&amp;" "&amp;OFFSET(Resultat!$H$13,COLUMN()-4,0)&amp;" - "&amp;OFFSET(Resultat!$J$13,COLUMN()-4,0)&amp;" "&amp;OFFSET(Resultat!$G$13,COLUMN()-4,0))</f>
        <v>England 1 - 0 Wales</v>
      </c>
      <c r="T5" t="str">
        <f ca="1">(OFFSET(Resultat!$E$13,COLUMN()-4,0)&amp;" "&amp;OFFSET(Resultat!$H$13,COLUMN()-4,0)&amp;" - "&amp;OFFSET(Resultat!$J$13,COLUMN()-4,0)&amp;" "&amp;OFFSET(Resultat!$G$13,COLUMN()-4,0))</f>
        <v>Ukraina 1 - 2 Nordirland</v>
      </c>
      <c r="U5" t="str">
        <f ca="1">(OFFSET(Resultat!$E$13,COLUMN()-4,0)&amp;" "&amp;OFFSET(Resultat!$H$13,COLUMN()-4,0)&amp;" - "&amp;OFFSET(Resultat!$J$13,COLUMN()-4,0)&amp;" "&amp;OFFSET(Resultat!$G$13,COLUMN()-4,0))</f>
        <v>Tyskland 1 - 1 Polen</v>
      </c>
      <c r="V5" t="str">
        <f ca="1">(OFFSET(Resultat!$E$13,COLUMN()-4,0)&amp;" "&amp;OFFSET(Resultat!$H$13,COLUMN()-4,0)&amp;" - "&amp;OFFSET(Resultat!$J$13,COLUMN()-4,0)&amp;" "&amp;OFFSET(Resultat!$G$13,COLUMN()-4,0))</f>
        <v>Italien 1 - 1 Sverige</v>
      </c>
      <c r="W5" t="str">
        <f ca="1">(OFFSET(Resultat!$E$13,COLUMN()-4,0)&amp;" "&amp;OFFSET(Resultat!$H$13,COLUMN()-4,0)&amp;" - "&amp;OFFSET(Resultat!$J$13,COLUMN()-4,0)&amp;" "&amp;OFFSET(Resultat!$G$13,COLUMN()-4,0))</f>
        <v>Tjeckien 2 - 2 Kroatien</v>
      </c>
      <c r="X5" t="str">
        <f ca="1">(OFFSET(Resultat!$E$13,COLUMN()-4,0)&amp;" "&amp;OFFSET(Resultat!$H$13,COLUMN()-4,0)&amp;" - "&amp;OFFSET(Resultat!$J$13,COLUMN()-4,0)&amp;" "&amp;OFFSET(Resultat!$G$13,COLUMN()-4,0))</f>
        <v>Spanien 1 - 2 Turkiet</v>
      </c>
      <c r="Y5" t="str">
        <f ca="1">(OFFSET(Resultat!$E$13,COLUMN()-4,0)&amp;" "&amp;OFFSET(Resultat!$H$13,COLUMN()-4,0)&amp;" - "&amp;OFFSET(Resultat!$J$13,COLUMN()-4,0)&amp;" "&amp;OFFSET(Resultat!$G$13,COLUMN()-4,0))</f>
        <v>Belgien 1 - 2 Irland</v>
      </c>
      <c r="Z5" t="str">
        <f ca="1">(OFFSET(Resultat!$E$13,COLUMN()-4,0)&amp;" "&amp;OFFSET(Resultat!$H$13,COLUMN()-4,0)&amp;" - "&amp;OFFSET(Resultat!$J$13,COLUMN()-4,0)&amp;" "&amp;OFFSET(Resultat!$G$13,COLUMN()-4,0))</f>
        <v>Island 1 - 1 Ungern</v>
      </c>
      <c r="AA5" t="str">
        <f ca="1">(OFFSET(Resultat!$E$13,COLUMN()-4,0)&amp;" "&amp;OFFSET(Resultat!$H$13,COLUMN()-4,0)&amp;" - "&amp;OFFSET(Resultat!$J$13,COLUMN()-4,0)&amp;" "&amp;OFFSET(Resultat!$G$13,COLUMN()-4,0))</f>
        <v>Portugal 1 - 2 Österrike</v>
      </c>
      <c r="AB5" t="str">
        <f ca="1">(OFFSET(Resultat!$E$13,COLUMN()-4,0)&amp;" "&amp;OFFSET(Resultat!$H$13,COLUMN()-4,0)&amp;" - "&amp;OFFSET(Resultat!$J$13,COLUMN()-4,0)&amp;" "&amp;OFFSET(Resultat!$G$13,COLUMN()-4,0))</f>
        <v>Schweiz 2 - 0 Frankrike</v>
      </c>
      <c r="AC5" t="str">
        <f ca="1">(OFFSET(Resultat!$E$13,COLUMN()-4,0)&amp;" "&amp;OFFSET(Resultat!$H$13,COLUMN()-4,0)&amp;" - "&amp;OFFSET(Resultat!$J$13,COLUMN()-4,0)&amp;" "&amp;OFFSET(Resultat!$G$13,COLUMN()-4,0))</f>
        <v>Rumänien 2 - 1 Albanien</v>
      </c>
      <c r="AD5" t="str">
        <f ca="1">(OFFSET(Resultat!$E$13,COLUMN()-4,0)&amp;" "&amp;OFFSET(Resultat!$H$13,COLUMN()-4,0)&amp;" - "&amp;OFFSET(Resultat!$J$13,COLUMN()-4,0)&amp;" "&amp;OFFSET(Resultat!$G$13,COLUMN()-4,0))</f>
        <v>Slovakien 1 - 0 England</v>
      </c>
      <c r="AE5" t="str">
        <f ca="1">(OFFSET(Resultat!$E$13,COLUMN()-4,0)&amp;" "&amp;OFFSET(Resultat!$H$13,COLUMN()-4,0)&amp;" - "&amp;OFFSET(Resultat!$J$13,COLUMN()-4,0)&amp;" "&amp;OFFSET(Resultat!$G$13,COLUMN()-4,0))</f>
        <v>Ryssland 1 - 2 Wales</v>
      </c>
      <c r="AF5" t="str">
        <f ca="1">(OFFSET(Resultat!$E$13,COLUMN()-4,0)&amp;" "&amp;OFFSET(Resultat!$H$13,COLUMN()-4,0)&amp;" - "&amp;OFFSET(Resultat!$J$13,COLUMN()-4,0)&amp;" "&amp;OFFSET(Resultat!$G$13,COLUMN()-4,0))</f>
        <v>Nordirland 1 - 0 Tyskland</v>
      </c>
      <c r="AG5" t="str">
        <f ca="1">(OFFSET(Resultat!$E$13,COLUMN()-4,0)&amp;" "&amp;OFFSET(Resultat!$H$13,COLUMN()-4,0)&amp;" - "&amp;OFFSET(Resultat!$J$13,COLUMN()-4,0)&amp;" "&amp;OFFSET(Resultat!$G$13,COLUMN()-4,0))</f>
        <v>Ukraina 2 - 2 Polen</v>
      </c>
      <c r="AH5" t="str">
        <f ca="1">(OFFSET(Resultat!$E$13,COLUMN()-4,0)&amp;" "&amp;OFFSET(Resultat!$H$13,COLUMN()-4,0)&amp;" - "&amp;OFFSET(Resultat!$J$13,COLUMN()-4,0)&amp;" "&amp;OFFSET(Resultat!$G$13,COLUMN()-4,0))</f>
        <v>Kroatien 2 - 2 Spanien</v>
      </c>
      <c r="AI5" t="str">
        <f ca="1">(OFFSET(Resultat!$E$13,COLUMN()-4,0)&amp;" "&amp;OFFSET(Resultat!$H$13,COLUMN()-4,0)&amp;" - "&amp;OFFSET(Resultat!$J$13,COLUMN()-4,0)&amp;" "&amp;OFFSET(Resultat!$G$13,COLUMN()-4,0))</f>
        <v>Tjeckien  -  Turkiet</v>
      </c>
      <c r="AJ5" t="str">
        <f ca="1">(OFFSET(Resultat!$E$13,COLUMN()-4,0)&amp;" "&amp;OFFSET(Resultat!$H$13,COLUMN()-4,0)&amp;" - "&amp;OFFSET(Resultat!$J$13,COLUMN()-4,0)&amp;" "&amp;OFFSET(Resultat!$G$13,COLUMN()-4,0))</f>
        <v>Ungern  -  Portugal</v>
      </c>
      <c r="AK5" t="str">
        <f ca="1">(OFFSET(Resultat!$E$13,COLUMN()-4,0)&amp;" "&amp;OFFSET(Resultat!$H$13,COLUMN()-4,0)&amp;" - "&amp;OFFSET(Resultat!$J$13,COLUMN()-4,0)&amp;" "&amp;OFFSET(Resultat!$G$13,COLUMN()-4,0))</f>
        <v>Island  -  Österrike</v>
      </c>
      <c r="AL5" t="str">
        <f ca="1">(OFFSET(Resultat!$E$13,COLUMN()-4,0)&amp;" "&amp;OFFSET(Resultat!$H$13,COLUMN()-4,0)&amp;" - "&amp;OFFSET(Resultat!$J$13,COLUMN()-4,0)&amp;" "&amp;OFFSET(Resultat!$G$13,COLUMN()-4,0))</f>
        <v>Sverige  -  Belgien</v>
      </c>
      <c r="AM5" t="str">
        <f ca="1">(OFFSET(Resultat!$E$13,COLUMN()-4,0)&amp;" "&amp;OFFSET(Resultat!$H$13,COLUMN()-4,0)&amp;" - "&amp;OFFSET(Resultat!$J$13,COLUMN()-4,0)&amp;" "&amp;OFFSET(Resultat!$G$13,COLUMN()-4,0))</f>
        <v>Italien  -  Irland</v>
      </c>
      <c r="AN5" t="str">
        <f ca="1">(OFFSET(Resultat!$E$13,COLUMN()-4,0)&amp;" "&amp;OFFSET(Resultat!$H$13,COLUMN()-4,0)&amp;" - "&amp;OFFSET(Resultat!$J$13,COLUMN()-4,0)&amp;" "&amp;OFFSET(Resultat!$G$13,COLUMN()-4,0))</f>
        <v>Schweiz  -  Tyskland</v>
      </c>
      <c r="AO5" t="str">
        <f ca="1">(OFFSET(Resultat!$E$13,COLUMN()-4,0)&amp;" "&amp;OFFSET(Resultat!$H$13,COLUMN()-4,0)&amp;" - "&amp;OFFSET(Resultat!$J$13,COLUMN()-4,0)&amp;" "&amp;OFFSET(Resultat!$G$13,COLUMN()-4,0))</f>
        <v xml:space="preserve">England  -  </v>
      </c>
      <c r="AP5" t="str">
        <f ca="1">(OFFSET(Resultat!$E$13,COLUMN()-4,0)&amp;" "&amp;OFFSET(Resultat!$H$13,COLUMN()-4,0)&amp;" - "&amp;OFFSET(Resultat!$J$13,COLUMN()-4,0)&amp;" "&amp;OFFSET(Resultat!$G$13,COLUMN()-4,0))</f>
        <v xml:space="preserve">Turkiet  -  </v>
      </c>
      <c r="AQ5" t="str">
        <f ca="1">(OFFSET(Resultat!$E$13,COLUMN()-4,0)&amp;" "&amp;OFFSET(Resultat!$H$13,COLUMN()-4,0)&amp;" - "&amp;OFFSET(Resultat!$J$13,COLUMN()-4,0)&amp;" "&amp;OFFSET(Resultat!$G$13,COLUMN()-4,0))</f>
        <v xml:space="preserve">Rumänien  -  </v>
      </c>
      <c r="AR5" t="str">
        <f ca="1">(OFFSET(Resultat!$E$13,COLUMN()-4,0)&amp;" "&amp;OFFSET(Resultat!$H$13,COLUMN()-4,0)&amp;" - "&amp;OFFSET(Resultat!$J$13,COLUMN()-4,0)&amp;" "&amp;OFFSET(Resultat!$G$13,COLUMN()-4,0))</f>
        <v xml:space="preserve">Polen  -  </v>
      </c>
      <c r="AS5" t="str">
        <f ca="1">(OFFSET(Resultat!$E$13,COLUMN()-4,0)&amp;" "&amp;OFFSET(Resultat!$H$13,COLUMN()-4,0)&amp;" - "&amp;OFFSET(Resultat!$J$13,COLUMN()-4,0)&amp;" "&amp;OFFSET(Resultat!$G$13,COLUMN()-4,0))</f>
        <v>Österrike  -  Italien</v>
      </c>
      <c r="AT5" t="str">
        <f ca="1">(OFFSET(Resultat!$E$13,COLUMN()-4,0)&amp;" "&amp;OFFSET(Resultat!$H$13,COLUMN()-4,0)&amp;" - "&amp;OFFSET(Resultat!$J$13,COLUMN()-4,0)&amp;" "&amp;OFFSET(Resultat!$G$13,COLUMN()-4,0))</f>
        <v>Irland  -  Kroatien</v>
      </c>
      <c r="AU5" t="str">
        <f ca="1">(OFFSET(Resultat!$E$13,COLUMN()-4,0)&amp;" "&amp;OFFSET(Resultat!$H$13,COLUMN()-4,0)&amp;" - "&amp;OFFSET(Resultat!$J$13,COLUMN()-4,0)&amp;" "&amp;OFFSET(Resultat!$G$13,COLUMN()-4,0))</f>
        <v>Slovakien  -  Island</v>
      </c>
      <c r="AV5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AW5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AX5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AY5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AZ5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BA5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BB5" t="str">
        <f ca="1">(OFFSET(Resultat!$E$13,COLUMN()-4,0)&amp;" "&amp;OFFSET(Resultat!$H$13,COLUMN()-4,0)&amp;" - "&amp;OFFSET(Resultat!$J$13,COLUMN()-4,0)&amp;" "&amp;OFFSET(Resultat!$G$13,COLUMN()-4,0))</f>
        <v xml:space="preserve">  -  </v>
      </c>
    </row>
    <row r="6" spans="2:54" x14ac:dyDescent="0.2">
      <c r="B6" t="s">
        <v>133</v>
      </c>
      <c r="C6" t="s">
        <v>134</v>
      </c>
      <c r="D6" t="s">
        <v>135</v>
      </c>
      <c r="E6" t="s">
        <v>136</v>
      </c>
      <c r="F6" t="s">
        <v>137</v>
      </c>
      <c r="G6" t="s">
        <v>138</v>
      </c>
      <c r="H6" t="s">
        <v>139</v>
      </c>
      <c r="I6" t="s">
        <v>140</v>
      </c>
      <c r="J6" t="s">
        <v>141</v>
      </c>
      <c r="K6" t="s">
        <v>142</v>
      </c>
      <c r="L6" t="s">
        <v>143</v>
      </c>
      <c r="M6" t="s">
        <v>144</v>
      </c>
      <c r="N6" t="s">
        <v>145</v>
      </c>
      <c r="O6" t="s">
        <v>146</v>
      </c>
      <c r="P6" t="s">
        <v>147</v>
      </c>
      <c r="Q6" t="s">
        <v>148</v>
      </c>
      <c r="R6" t="s">
        <v>149</v>
      </c>
      <c r="S6" t="s">
        <v>150</v>
      </c>
      <c r="T6" t="s">
        <v>151</v>
      </c>
      <c r="U6" t="s">
        <v>152</v>
      </c>
      <c r="V6" t="s">
        <v>153</v>
      </c>
      <c r="W6" t="s">
        <v>154</v>
      </c>
      <c r="X6" t="s">
        <v>155</v>
      </c>
      <c r="Y6" t="s">
        <v>156</v>
      </c>
      <c r="Z6" t="s">
        <v>157</v>
      </c>
      <c r="AA6" t="s">
        <v>158</v>
      </c>
      <c r="AB6" t="s">
        <v>159</v>
      </c>
      <c r="AC6" t="s">
        <v>160</v>
      </c>
      <c r="AD6" t="s">
        <v>161</v>
      </c>
      <c r="AE6" t="s">
        <v>162</v>
      </c>
      <c r="AF6" t="s">
        <v>163</v>
      </c>
      <c r="AG6" t="s">
        <v>164</v>
      </c>
      <c r="AH6" t="s">
        <v>165</v>
      </c>
      <c r="AI6" t="s">
        <v>166</v>
      </c>
      <c r="AJ6" t="s">
        <v>167</v>
      </c>
      <c r="AK6" t="s">
        <v>168</v>
      </c>
      <c r="AL6" t="s">
        <v>169</v>
      </c>
      <c r="AM6" t="s">
        <v>170</v>
      </c>
      <c r="AN6" t="s">
        <v>171</v>
      </c>
      <c r="AO6" t="s">
        <v>172</v>
      </c>
      <c r="AP6" t="s">
        <v>173</v>
      </c>
      <c r="AQ6" t="s">
        <v>174</v>
      </c>
      <c r="AR6" t="s">
        <v>175</v>
      </c>
      <c r="AS6" t="s">
        <v>176</v>
      </c>
      <c r="AT6" t="s">
        <v>177</v>
      </c>
      <c r="AU6" t="s">
        <v>178</v>
      </c>
      <c r="AV6" t="s">
        <v>179</v>
      </c>
      <c r="AW6" t="s">
        <v>180</v>
      </c>
      <c r="AX6" t="s">
        <v>181</v>
      </c>
      <c r="AY6" t="s">
        <v>182</v>
      </c>
      <c r="AZ6" t="s">
        <v>183</v>
      </c>
      <c r="BA6" t="s">
        <v>184</v>
      </c>
      <c r="BB6" t="s">
        <v>185</v>
      </c>
    </row>
    <row r="7" spans="2:54" x14ac:dyDescent="0.2">
      <c r="B7" t="s">
        <v>118</v>
      </c>
      <c r="C7">
        <v>0</v>
      </c>
      <c r="D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2</v>
      </c>
      <c r="E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7</v>
      </c>
      <c r="F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7</v>
      </c>
      <c r="G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14</v>
      </c>
      <c r="H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14</v>
      </c>
      <c r="I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17</v>
      </c>
      <c r="J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19</v>
      </c>
      <c r="K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19</v>
      </c>
      <c r="L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22</v>
      </c>
      <c r="M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22</v>
      </c>
      <c r="N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24</v>
      </c>
      <c r="O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24</v>
      </c>
      <c r="P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24</v>
      </c>
      <c r="Q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26</v>
      </c>
      <c r="R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28</v>
      </c>
      <c r="S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T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U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V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W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X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Y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Z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AA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33</v>
      </c>
      <c r="AB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35</v>
      </c>
      <c r="AC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37</v>
      </c>
      <c r="AD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40</v>
      </c>
      <c r="AE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40</v>
      </c>
      <c r="AF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43</v>
      </c>
      <c r="AG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43</v>
      </c>
      <c r="AH7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43</v>
      </c>
      <c r="AI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J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K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L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M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N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O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P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Q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R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S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T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U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V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W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X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Y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AZ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BA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  <c r="BB7" t="e">
        <f ca="1">IF(INDIRECT(ADDRESS(COLUMN()+8,SUMPRODUCT(((INDIRECT("Tabeller!$B$1:"&amp;ADDRESS(1,Resultat!$L$1+1)))=$B7)*(INDIRECT("Tabeller!$B$6:"&amp;ADDRESS(6,Resultat!$L$1+1))))+1,1,,"Tabeller"))="","",INDIRECT(ADDRESS(COLUMN()+8,SUMPRODUCT(((INDIRECT("Tabeller!$B$1:"&amp;ADDRESS(1,Resultat!$L$1+1)))=$B7)*(INDIRECT("Tabeller!$B$6:"&amp;ADDRESS(6,Resultat!$L$1+1))))+1,,,"Tabeller")))</f>
        <v>#N/A</v>
      </c>
    </row>
    <row r="8" spans="2:54" x14ac:dyDescent="0.2">
      <c r="B8" t="s">
        <v>98</v>
      </c>
      <c r="C8">
        <v>0</v>
      </c>
      <c r="D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2</v>
      </c>
      <c r="E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4</v>
      </c>
      <c r="F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4</v>
      </c>
      <c r="G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11</v>
      </c>
      <c r="H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11</v>
      </c>
      <c r="I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14</v>
      </c>
      <c r="J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17</v>
      </c>
      <c r="K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19</v>
      </c>
      <c r="L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22</v>
      </c>
      <c r="M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22</v>
      </c>
      <c r="N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24</v>
      </c>
      <c r="O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24</v>
      </c>
      <c r="P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27</v>
      </c>
      <c r="Q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29</v>
      </c>
      <c r="R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31</v>
      </c>
      <c r="S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36</v>
      </c>
      <c r="T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36</v>
      </c>
      <c r="U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36</v>
      </c>
      <c r="V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36</v>
      </c>
      <c r="W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X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Y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Z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AA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AB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AC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AD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AE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38</v>
      </c>
      <c r="AF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41</v>
      </c>
      <c r="AG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41</v>
      </c>
      <c r="AH8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41</v>
      </c>
      <c r="AI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J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K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L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M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N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O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P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Q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R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S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T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U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V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W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X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Y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AZ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BA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  <c r="BB8" t="e">
        <f ca="1">IF(INDIRECT(ADDRESS(COLUMN()+8,SUMPRODUCT(((INDIRECT("Tabeller!$B$1:"&amp;ADDRESS(1,Resultat!$L$1+1)))=$B8)*(INDIRECT("Tabeller!$B$6:"&amp;ADDRESS(6,Resultat!$L$1+1))))+1,1,,"Tabeller"))="","",INDIRECT(ADDRESS(COLUMN()+8,SUMPRODUCT(((INDIRECT("Tabeller!$B$1:"&amp;ADDRESS(1,Resultat!$L$1+1)))=$B8)*(INDIRECT("Tabeller!$B$6:"&amp;ADDRESS(6,Resultat!$L$1+1))))+1,,,"Tabeller")))</f>
        <v>#N/A</v>
      </c>
    </row>
    <row r="9" spans="2:54" x14ac:dyDescent="0.2">
      <c r="B9" t="s">
        <v>97</v>
      </c>
      <c r="C9">
        <v>0</v>
      </c>
      <c r="D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4</v>
      </c>
      <c r="E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10</v>
      </c>
      <c r="F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G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H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I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J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K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L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M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N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12</v>
      </c>
      <c r="O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14</v>
      </c>
      <c r="P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14</v>
      </c>
      <c r="Q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14</v>
      </c>
      <c r="R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14</v>
      </c>
      <c r="S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14</v>
      </c>
      <c r="T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17</v>
      </c>
      <c r="U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17</v>
      </c>
      <c r="V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17</v>
      </c>
      <c r="W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17</v>
      </c>
      <c r="X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20</v>
      </c>
      <c r="Y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23</v>
      </c>
      <c r="Z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23</v>
      </c>
      <c r="AA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26</v>
      </c>
      <c r="AB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26</v>
      </c>
      <c r="AC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26</v>
      </c>
      <c r="AD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26</v>
      </c>
      <c r="AE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29</v>
      </c>
      <c r="AF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29</v>
      </c>
      <c r="AG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29</v>
      </c>
      <c r="AH9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29</v>
      </c>
      <c r="AI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J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K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L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M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N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O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P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Q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R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S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T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U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V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W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X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Y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AZ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BA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  <c r="BB9" t="e">
        <f ca="1">IF(INDIRECT(ADDRESS(COLUMN()+8,SUMPRODUCT(((INDIRECT("Tabeller!$B$1:"&amp;ADDRESS(1,Resultat!$L$1+1)))=$B9)*(INDIRECT("Tabeller!$B$6:"&amp;ADDRESS(6,Resultat!$L$1+1))))+1,1,,"Tabeller"))="","",INDIRECT(ADDRESS(COLUMN()+8,SUMPRODUCT(((INDIRECT("Tabeller!$B$1:"&amp;ADDRESS(1,Resultat!$L$1+1)))=$B9)*(INDIRECT("Tabeller!$B$6:"&amp;ADDRESS(6,Resultat!$L$1+1))))+1,,,"Tabeller")))</f>
        <v>#N/A</v>
      </c>
    </row>
    <row r="10" spans="2:54" x14ac:dyDescent="0.2">
      <c r="B10" t="s">
        <v>187</v>
      </c>
      <c r="C10">
        <v>0</v>
      </c>
      <c r="D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4</v>
      </c>
      <c r="E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8</v>
      </c>
      <c r="F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10</v>
      </c>
      <c r="G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10</v>
      </c>
      <c r="H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10</v>
      </c>
      <c r="I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10</v>
      </c>
      <c r="J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10</v>
      </c>
      <c r="K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10</v>
      </c>
      <c r="L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12</v>
      </c>
      <c r="M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12</v>
      </c>
      <c r="N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12</v>
      </c>
      <c r="O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14</v>
      </c>
      <c r="P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14</v>
      </c>
      <c r="Q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14</v>
      </c>
      <c r="R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14</v>
      </c>
      <c r="S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14</v>
      </c>
      <c r="T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16</v>
      </c>
      <c r="U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16</v>
      </c>
      <c r="V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16</v>
      </c>
      <c r="W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16</v>
      </c>
      <c r="X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18</v>
      </c>
      <c r="Y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20</v>
      </c>
      <c r="Z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20</v>
      </c>
      <c r="AA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22</v>
      </c>
      <c r="AB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22</v>
      </c>
      <c r="AC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22</v>
      </c>
      <c r="AD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22</v>
      </c>
      <c r="AE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24</v>
      </c>
      <c r="AF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24</v>
      </c>
      <c r="AG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24</v>
      </c>
      <c r="AH10" s="71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24</v>
      </c>
      <c r="AI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J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K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L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M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N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O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P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Q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R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S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T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U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V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W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X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Y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AZ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BA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  <c r="BB10" s="71" t="e">
        <f ca="1">IF(INDIRECT(ADDRESS(COLUMN()+8,SUMPRODUCT(((INDIRECT("Tabeller!$B$1:"&amp;ADDRESS(1,Resultat!$L$1+1)))=$B10)*(INDIRECT("Tabeller!$B$6:"&amp;ADDRESS(6,Resultat!$L$1+1))))+1,1,,"Tabeller"))="","",INDIRECT(ADDRESS(COLUMN()+8,SUMPRODUCT(((INDIRECT("Tabeller!$B$1:"&amp;ADDRESS(1,Resultat!$L$1+1)))=$B10)*(INDIRECT("Tabeller!$B$6:"&amp;ADDRESS(6,Resultat!$L$1+1))))+1,,,"Tabeller")))</f>
        <v>#N/A</v>
      </c>
    </row>
    <row r="11" spans="2:54" x14ac:dyDescent="0.2">
      <c r="B11" t="s">
        <v>189</v>
      </c>
      <c r="C11">
        <v>0</v>
      </c>
      <c r="D11" s="7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4</v>
      </c>
      <c r="E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F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G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H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I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J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K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L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M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N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8</v>
      </c>
      <c r="O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11</v>
      </c>
      <c r="P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11</v>
      </c>
      <c r="Q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11</v>
      </c>
      <c r="R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11</v>
      </c>
      <c r="S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11</v>
      </c>
      <c r="T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14</v>
      </c>
      <c r="U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14</v>
      </c>
      <c r="V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14</v>
      </c>
      <c r="W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14</v>
      </c>
      <c r="X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14</v>
      </c>
      <c r="Y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14</v>
      </c>
      <c r="Z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14</v>
      </c>
      <c r="AA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14</v>
      </c>
      <c r="AB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16</v>
      </c>
      <c r="AC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19</v>
      </c>
      <c r="AD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21</v>
      </c>
      <c r="AE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21</v>
      </c>
      <c r="AF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23</v>
      </c>
      <c r="AG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23</v>
      </c>
      <c r="AH11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23</v>
      </c>
      <c r="AI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J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K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L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M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N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O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P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Q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R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S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T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U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V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W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X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Y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AZ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BA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  <c r="BB11" t="e">
        <f ca="1">IF(INDIRECT(ADDRESS(COLUMN()+8,SUMPRODUCT(((INDIRECT("Tabeller!$B$1:"&amp;ADDRESS(1,Resultat!$L$1+1)))=$B11)*(INDIRECT("Tabeller!$B$6:"&amp;ADDRESS(6,Resultat!$L$1+1))))+1,1,,"Tabeller"))="","",INDIRECT(ADDRESS(COLUMN()+8,SUMPRODUCT(((INDIRECT("Tabeller!$B$1:"&amp;ADDRESS(1,Resultat!$L$1+1)))=$B11)*(INDIRECT("Tabeller!$B$6:"&amp;ADDRESS(6,Resultat!$L$1+1))))+1,,,"Tabeller")))</f>
        <v>#N/A</v>
      </c>
    </row>
    <row r="12" spans="2:54" x14ac:dyDescent="0.2">
      <c r="D12" s="71"/>
    </row>
    <row r="13" spans="2:54" x14ac:dyDescent="0.2">
      <c r="D13" s="71"/>
    </row>
    <row r="14" spans="2:54" x14ac:dyDescent="0.2">
      <c r="D14" s="71"/>
    </row>
    <row r="21" spans="2:54" x14ac:dyDescent="0.2">
      <c r="B21" t="s">
        <v>78</v>
      </c>
      <c r="D21" t="str">
        <f ca="1">(OFFSET(Resultat!$E$13,COLUMN()-4,0)&amp;" "&amp;OFFSET(Resultat!$H$13,COLUMN()-4,0)&amp;" - "&amp;OFFSET(Resultat!$J$13,COLUMN()-4,0)&amp;" "&amp;OFFSET(Resultat!$G$13,COLUMN()-4,0))</f>
        <v>Frankrike 2 - 4 Rumänien</v>
      </c>
      <c r="E21" t="str">
        <f ca="1">(OFFSET(Resultat!$E$13,COLUMN()-4,0)&amp;" "&amp;OFFSET(Resultat!$H$13,COLUMN()-4,0)&amp;" - "&amp;OFFSET(Resultat!$J$13,COLUMN()-4,0)&amp;" "&amp;OFFSET(Resultat!$G$13,COLUMN()-4,0))</f>
        <v>Albanien 1 - 0 Schweiz</v>
      </c>
      <c r="F21" t="str">
        <f ca="1">(OFFSET(Resultat!$E$13,COLUMN()-4,0)&amp;" "&amp;OFFSET(Resultat!$H$13,COLUMN()-4,0)&amp;" - "&amp;OFFSET(Resultat!$J$13,COLUMN()-4,0)&amp;" "&amp;OFFSET(Resultat!$G$13,COLUMN()-4,0))</f>
        <v>Wales 2 - 2 Slovakien</v>
      </c>
      <c r="G21" t="str">
        <f ca="1">(OFFSET(Resultat!$E$13,COLUMN()-4,0)&amp;" "&amp;OFFSET(Resultat!$H$13,COLUMN()-4,0)&amp;" - "&amp;OFFSET(Resultat!$J$13,COLUMN()-4,0)&amp;" "&amp;OFFSET(Resultat!$G$13,COLUMN()-4,0))</f>
        <v>England 1 - 0 Ryssland</v>
      </c>
      <c r="H21" t="str">
        <f ca="1">(OFFSET(Resultat!$E$13,COLUMN()-4,0)&amp;" "&amp;OFFSET(Resultat!$H$13,COLUMN()-4,0)&amp;" - "&amp;OFFSET(Resultat!$J$13,COLUMN()-4,0)&amp;" "&amp;OFFSET(Resultat!$G$13,COLUMN()-4,0))</f>
        <v>Turkiet 2 - 2 Kroatien</v>
      </c>
      <c r="I21" t="str">
        <f ca="1">(OFFSET(Resultat!$E$13,COLUMN()-4,0)&amp;" "&amp;OFFSET(Resultat!$H$13,COLUMN()-4,0)&amp;" - "&amp;OFFSET(Resultat!$J$13,COLUMN()-4,0)&amp;" "&amp;OFFSET(Resultat!$G$13,COLUMN()-4,0))</f>
        <v>Polen 1 - 0 Nordirland</v>
      </c>
      <c r="J21" t="str">
        <f ca="1">(OFFSET(Resultat!$E$13,COLUMN()-4,0)&amp;" "&amp;OFFSET(Resultat!$H$13,COLUMN()-4,0)&amp;" - "&amp;OFFSET(Resultat!$J$13,COLUMN()-4,0)&amp;" "&amp;OFFSET(Resultat!$G$13,COLUMN()-4,0))</f>
        <v>Tyskland 1 - 0 Ukraina</v>
      </c>
      <c r="K21" t="str">
        <f ca="1">(OFFSET(Resultat!$E$13,COLUMN()-4,0)&amp;" "&amp;OFFSET(Resultat!$H$13,COLUMN()-4,0)&amp;" - "&amp;OFFSET(Resultat!$J$13,COLUMN()-4,0)&amp;" "&amp;OFFSET(Resultat!$G$13,COLUMN()-4,0))</f>
        <v>Spanien 2 - 2 Tjeckien</v>
      </c>
      <c r="L21" t="str">
        <f ca="1">(OFFSET(Resultat!$E$13,COLUMN()-4,0)&amp;" "&amp;OFFSET(Resultat!$H$13,COLUMN()-4,0)&amp;" - "&amp;OFFSET(Resultat!$J$13,COLUMN()-4,0)&amp;" "&amp;OFFSET(Resultat!$G$13,COLUMN()-4,0))</f>
        <v>Irland 1 - 0 Sverige</v>
      </c>
      <c r="M21" t="str">
        <f ca="1">(OFFSET(Resultat!$E$13,COLUMN()-4,0)&amp;" "&amp;OFFSET(Resultat!$H$13,COLUMN()-4,0)&amp;" - "&amp;OFFSET(Resultat!$J$13,COLUMN()-4,0)&amp;" "&amp;OFFSET(Resultat!$G$13,COLUMN()-4,0))</f>
        <v>Belgien 1 - 1 Italien</v>
      </c>
      <c r="N21" t="str">
        <f ca="1">(OFFSET(Resultat!$E$13,COLUMN()-4,0)&amp;" "&amp;OFFSET(Resultat!$H$13,COLUMN()-4,0)&amp;" - "&amp;OFFSET(Resultat!$J$13,COLUMN()-4,0)&amp;" "&amp;OFFSET(Resultat!$G$13,COLUMN()-4,0))</f>
        <v>Österrike 2 - 0 Ungern</v>
      </c>
      <c r="O21" t="str">
        <f ca="1">(OFFSET(Resultat!$E$13,COLUMN()-4,0)&amp;" "&amp;OFFSET(Resultat!$H$13,COLUMN()-4,0)&amp;" - "&amp;OFFSET(Resultat!$J$13,COLUMN()-4,0)&amp;" "&amp;OFFSET(Resultat!$G$13,COLUMN()-4,0))</f>
        <v>Portugal 1 - 2 Island</v>
      </c>
      <c r="P21" t="str">
        <f ca="1">(OFFSET(Resultat!$E$13,COLUMN()-4,0)&amp;" "&amp;OFFSET(Resultat!$H$13,COLUMN()-4,0)&amp;" - "&amp;OFFSET(Resultat!$J$13,COLUMN()-4,0)&amp;" "&amp;OFFSET(Resultat!$G$13,COLUMN()-4,0))</f>
        <v>Ryssland 1 - 1 Slovakien</v>
      </c>
      <c r="Q21" t="str">
        <f ca="1">(OFFSET(Resultat!$E$13,COLUMN()-4,0)&amp;" "&amp;OFFSET(Resultat!$H$13,COLUMN()-4,0)&amp;" - "&amp;OFFSET(Resultat!$J$13,COLUMN()-4,0)&amp;" "&amp;OFFSET(Resultat!$G$13,COLUMN()-4,0))</f>
        <v>Rumänien 3 - 2 Schweiz</v>
      </c>
      <c r="R21" t="str">
        <f ca="1">(OFFSET(Resultat!$E$13,COLUMN()-4,0)&amp;" "&amp;OFFSET(Resultat!$H$13,COLUMN()-4,0)&amp;" - "&amp;OFFSET(Resultat!$J$13,COLUMN()-4,0)&amp;" "&amp;OFFSET(Resultat!$G$13,COLUMN()-4,0))</f>
        <v>Frankrike 2 - 1 Albanien</v>
      </c>
      <c r="S21" t="str">
        <f ca="1">(OFFSET(Resultat!$E$13,COLUMN()-4,0)&amp;" "&amp;OFFSET(Resultat!$H$13,COLUMN()-4,0)&amp;" - "&amp;OFFSET(Resultat!$J$13,COLUMN()-4,0)&amp;" "&amp;OFFSET(Resultat!$G$13,COLUMN()-4,0))</f>
        <v>England 1 - 0 Wales</v>
      </c>
      <c r="T21" t="str">
        <f ca="1">(OFFSET(Resultat!$E$13,COLUMN()-4,0)&amp;" "&amp;OFFSET(Resultat!$H$13,COLUMN()-4,0)&amp;" - "&amp;OFFSET(Resultat!$J$13,COLUMN()-4,0)&amp;" "&amp;OFFSET(Resultat!$G$13,COLUMN()-4,0))</f>
        <v>Ukraina 1 - 2 Nordirland</v>
      </c>
      <c r="U21" t="str">
        <f ca="1">(OFFSET(Resultat!$E$13,COLUMN()-4,0)&amp;" "&amp;OFFSET(Resultat!$H$13,COLUMN()-4,0)&amp;" - "&amp;OFFSET(Resultat!$J$13,COLUMN()-4,0)&amp;" "&amp;OFFSET(Resultat!$G$13,COLUMN()-4,0))</f>
        <v>Tyskland 1 - 1 Polen</v>
      </c>
      <c r="V21" t="str">
        <f ca="1">(OFFSET(Resultat!$E$13,COLUMN()-4,0)&amp;" "&amp;OFFSET(Resultat!$H$13,COLUMN()-4,0)&amp;" - "&amp;OFFSET(Resultat!$J$13,COLUMN()-4,0)&amp;" "&amp;OFFSET(Resultat!$G$13,COLUMN()-4,0))</f>
        <v>Italien 1 - 1 Sverige</v>
      </c>
      <c r="W21" t="str">
        <f ca="1">(OFFSET(Resultat!$E$13,COLUMN()-4,0)&amp;" "&amp;OFFSET(Resultat!$H$13,COLUMN()-4,0)&amp;" - "&amp;OFFSET(Resultat!$J$13,COLUMN()-4,0)&amp;" "&amp;OFFSET(Resultat!$G$13,COLUMN()-4,0))</f>
        <v>Tjeckien 2 - 2 Kroatien</v>
      </c>
      <c r="X21" t="str">
        <f ca="1">(OFFSET(Resultat!$E$13,COLUMN()-4,0)&amp;" "&amp;OFFSET(Resultat!$H$13,COLUMN()-4,0)&amp;" - "&amp;OFFSET(Resultat!$J$13,COLUMN()-4,0)&amp;" "&amp;OFFSET(Resultat!$G$13,COLUMN()-4,0))</f>
        <v>Spanien 1 - 2 Turkiet</v>
      </c>
      <c r="Y21" t="str">
        <f ca="1">(OFFSET(Resultat!$E$13,COLUMN()-4,0)&amp;" "&amp;OFFSET(Resultat!$H$13,COLUMN()-4,0)&amp;" - "&amp;OFFSET(Resultat!$J$13,COLUMN()-4,0)&amp;" "&amp;OFFSET(Resultat!$G$13,COLUMN()-4,0))</f>
        <v>Belgien 1 - 2 Irland</v>
      </c>
      <c r="Z21" t="str">
        <f ca="1">(OFFSET(Resultat!$E$13,COLUMN()-4,0)&amp;" "&amp;OFFSET(Resultat!$H$13,COLUMN()-4,0)&amp;" - "&amp;OFFSET(Resultat!$J$13,COLUMN()-4,0)&amp;" "&amp;OFFSET(Resultat!$G$13,COLUMN()-4,0))</f>
        <v>Island 1 - 1 Ungern</v>
      </c>
      <c r="AA21" t="str">
        <f ca="1">(OFFSET(Resultat!$E$13,COLUMN()-4,0)&amp;" "&amp;OFFSET(Resultat!$H$13,COLUMN()-4,0)&amp;" - "&amp;OFFSET(Resultat!$J$13,COLUMN()-4,0)&amp;" "&amp;OFFSET(Resultat!$G$13,COLUMN()-4,0))</f>
        <v>Portugal 1 - 2 Österrike</v>
      </c>
      <c r="AB21" t="str">
        <f ca="1">(OFFSET(Resultat!$E$13,COLUMN()-4,0)&amp;" "&amp;OFFSET(Resultat!$H$13,COLUMN()-4,0)&amp;" - "&amp;OFFSET(Resultat!$J$13,COLUMN()-4,0)&amp;" "&amp;OFFSET(Resultat!$G$13,COLUMN()-4,0))</f>
        <v>Schweiz 2 - 0 Frankrike</v>
      </c>
      <c r="AC21" t="str">
        <f ca="1">(OFFSET(Resultat!$E$13,COLUMN()-4,0)&amp;" "&amp;OFFSET(Resultat!$H$13,COLUMN()-4,0)&amp;" - "&amp;OFFSET(Resultat!$J$13,COLUMN()-4,0)&amp;" "&amp;OFFSET(Resultat!$G$13,COLUMN()-4,0))</f>
        <v>Rumänien 2 - 1 Albanien</v>
      </c>
      <c r="AD21" t="str">
        <f ca="1">(OFFSET(Resultat!$E$13,COLUMN()-4,0)&amp;" "&amp;OFFSET(Resultat!$H$13,COLUMN()-4,0)&amp;" - "&amp;OFFSET(Resultat!$J$13,COLUMN()-4,0)&amp;" "&amp;OFFSET(Resultat!$G$13,COLUMN()-4,0))</f>
        <v>Slovakien 1 - 0 England</v>
      </c>
      <c r="AE21" t="str">
        <f ca="1">(OFFSET(Resultat!$E$13,COLUMN()-4,0)&amp;" "&amp;OFFSET(Resultat!$H$13,COLUMN()-4,0)&amp;" - "&amp;OFFSET(Resultat!$J$13,COLUMN()-4,0)&amp;" "&amp;OFFSET(Resultat!$G$13,COLUMN()-4,0))</f>
        <v>Ryssland 1 - 2 Wales</v>
      </c>
      <c r="AF21" t="str">
        <f ca="1">(OFFSET(Resultat!$E$13,COLUMN()-4,0)&amp;" "&amp;OFFSET(Resultat!$H$13,COLUMN()-4,0)&amp;" - "&amp;OFFSET(Resultat!$J$13,COLUMN()-4,0)&amp;" "&amp;OFFSET(Resultat!$G$13,COLUMN()-4,0))</f>
        <v>Nordirland 1 - 0 Tyskland</v>
      </c>
      <c r="AG21" t="str">
        <f ca="1">(OFFSET(Resultat!$E$13,COLUMN()-4,0)&amp;" "&amp;OFFSET(Resultat!$H$13,COLUMN()-4,0)&amp;" - "&amp;OFFSET(Resultat!$J$13,COLUMN()-4,0)&amp;" "&amp;OFFSET(Resultat!$G$13,COLUMN()-4,0))</f>
        <v>Ukraina 2 - 2 Polen</v>
      </c>
      <c r="AH21" t="str">
        <f ca="1">(OFFSET(Resultat!$E$13,COLUMN()-4,0)&amp;" "&amp;OFFSET(Resultat!$H$13,COLUMN()-4,0)&amp;" - "&amp;OFFSET(Resultat!$J$13,COLUMN()-4,0)&amp;" "&amp;OFFSET(Resultat!$G$13,COLUMN()-4,0))</f>
        <v>Kroatien 2 - 2 Spanien</v>
      </c>
      <c r="AI21" t="str">
        <f ca="1">(OFFSET(Resultat!$E$13,COLUMN()-4,0)&amp;" "&amp;OFFSET(Resultat!$H$13,COLUMN()-4,0)&amp;" - "&amp;OFFSET(Resultat!$J$13,COLUMN()-4,0)&amp;" "&amp;OFFSET(Resultat!$G$13,COLUMN()-4,0))</f>
        <v>Tjeckien  -  Turkiet</v>
      </c>
      <c r="AJ21" t="str">
        <f ca="1">(OFFSET(Resultat!$E$13,COLUMN()-4,0)&amp;" "&amp;OFFSET(Resultat!$H$13,COLUMN()-4,0)&amp;" - "&amp;OFFSET(Resultat!$J$13,COLUMN()-4,0)&amp;" "&amp;OFFSET(Resultat!$G$13,COLUMN()-4,0))</f>
        <v>Ungern  -  Portugal</v>
      </c>
      <c r="AK21" t="str">
        <f ca="1">(OFFSET(Resultat!$E$13,COLUMN()-4,0)&amp;" "&amp;OFFSET(Resultat!$H$13,COLUMN()-4,0)&amp;" - "&amp;OFFSET(Resultat!$J$13,COLUMN()-4,0)&amp;" "&amp;OFFSET(Resultat!$G$13,COLUMN()-4,0))</f>
        <v>Island  -  Österrike</v>
      </c>
      <c r="AL21" t="str">
        <f ca="1">(OFFSET(Resultat!$E$13,COLUMN()-4,0)&amp;" "&amp;OFFSET(Resultat!$H$13,COLUMN()-4,0)&amp;" - "&amp;OFFSET(Resultat!$J$13,COLUMN()-4,0)&amp;" "&amp;OFFSET(Resultat!$G$13,COLUMN()-4,0))</f>
        <v>Sverige  -  Belgien</v>
      </c>
      <c r="AM21" t="str">
        <f ca="1">(OFFSET(Resultat!$E$13,COLUMN()-4,0)&amp;" "&amp;OFFSET(Resultat!$H$13,COLUMN()-4,0)&amp;" - "&amp;OFFSET(Resultat!$J$13,COLUMN()-4,0)&amp;" "&amp;OFFSET(Resultat!$G$13,COLUMN()-4,0))</f>
        <v>Italien  -  Irland</v>
      </c>
      <c r="AN21" t="str">
        <f ca="1">(OFFSET(Resultat!$E$13,COLUMN()-4,0)&amp;" "&amp;OFFSET(Resultat!$H$13,COLUMN()-4,0)&amp;" - "&amp;OFFSET(Resultat!$J$13,COLUMN()-4,0)&amp;" "&amp;OFFSET(Resultat!$G$13,COLUMN()-4,0))</f>
        <v>Schweiz  -  Tyskland</v>
      </c>
      <c r="AO21" t="str">
        <f ca="1">(OFFSET(Resultat!$E$13,COLUMN()-4,0)&amp;" "&amp;OFFSET(Resultat!$H$13,COLUMN()-4,0)&amp;" - "&amp;OFFSET(Resultat!$J$13,COLUMN()-4,0)&amp;" "&amp;OFFSET(Resultat!$G$13,COLUMN()-4,0))</f>
        <v xml:space="preserve">England  -  </v>
      </c>
      <c r="AP21" t="str">
        <f ca="1">(OFFSET(Resultat!$E$13,COLUMN()-4,0)&amp;" "&amp;OFFSET(Resultat!$H$13,COLUMN()-4,0)&amp;" - "&amp;OFFSET(Resultat!$J$13,COLUMN()-4,0)&amp;" "&amp;OFFSET(Resultat!$G$13,COLUMN()-4,0))</f>
        <v xml:space="preserve">Turkiet  -  </v>
      </c>
      <c r="AQ21" t="str">
        <f ca="1">(OFFSET(Resultat!$E$13,COLUMN()-4,0)&amp;" "&amp;OFFSET(Resultat!$H$13,COLUMN()-4,0)&amp;" - "&amp;OFFSET(Resultat!$J$13,COLUMN()-4,0)&amp;" "&amp;OFFSET(Resultat!$G$13,COLUMN()-4,0))</f>
        <v xml:space="preserve">Rumänien  -  </v>
      </c>
      <c r="AR21" t="str">
        <f ca="1">(OFFSET(Resultat!$E$13,COLUMN()-4,0)&amp;" "&amp;OFFSET(Resultat!$H$13,COLUMN()-4,0)&amp;" - "&amp;OFFSET(Resultat!$J$13,COLUMN()-4,0)&amp;" "&amp;OFFSET(Resultat!$G$13,COLUMN()-4,0))</f>
        <v xml:space="preserve">Polen  -  </v>
      </c>
      <c r="AS21" t="str">
        <f ca="1">(OFFSET(Resultat!$E$13,COLUMN()-4,0)&amp;" "&amp;OFFSET(Resultat!$H$13,COLUMN()-4,0)&amp;" - "&amp;OFFSET(Resultat!$J$13,COLUMN()-4,0)&amp;" "&amp;OFFSET(Resultat!$G$13,COLUMN()-4,0))</f>
        <v>Österrike  -  Italien</v>
      </c>
      <c r="AT21" t="str">
        <f ca="1">(OFFSET(Resultat!$E$13,COLUMN()-4,0)&amp;" "&amp;OFFSET(Resultat!$H$13,COLUMN()-4,0)&amp;" - "&amp;OFFSET(Resultat!$J$13,COLUMN()-4,0)&amp;" "&amp;OFFSET(Resultat!$G$13,COLUMN()-4,0))</f>
        <v>Irland  -  Kroatien</v>
      </c>
      <c r="AU21" t="str">
        <f ca="1">(OFFSET(Resultat!$E$13,COLUMN()-4,0)&amp;" "&amp;OFFSET(Resultat!$H$13,COLUMN()-4,0)&amp;" - "&amp;OFFSET(Resultat!$J$13,COLUMN()-4,0)&amp;" "&amp;OFFSET(Resultat!$G$13,COLUMN()-4,0))</f>
        <v>Slovakien  -  Island</v>
      </c>
      <c r="AV21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AW21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AX21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AY21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AZ21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BA21" t="str">
        <f ca="1">(OFFSET(Resultat!$E$13,COLUMN()-4,0)&amp;" "&amp;OFFSET(Resultat!$H$13,COLUMN()-4,0)&amp;" - "&amp;OFFSET(Resultat!$J$13,COLUMN()-4,0)&amp;" "&amp;OFFSET(Resultat!$G$13,COLUMN()-4,0))</f>
        <v xml:space="preserve">  -  </v>
      </c>
      <c r="BB21" t="str">
        <f ca="1">(OFFSET(Resultat!$E$13,COLUMN()-4,0)&amp;" "&amp;OFFSET(Resultat!$H$13,COLUMN()-4,0)&amp;" - "&amp;OFFSET(Resultat!$J$13,COLUMN()-4,0)&amp;" "&amp;OFFSET(Resultat!$G$13,COLUMN()-4,0))</f>
        <v xml:space="preserve">  -  </v>
      </c>
    </row>
    <row r="22" spans="2:54" x14ac:dyDescent="0.2">
      <c r="B22" t="s">
        <v>133</v>
      </c>
      <c r="C22" t="s">
        <v>134</v>
      </c>
      <c r="D22" t="s">
        <v>135</v>
      </c>
      <c r="E22" t="s">
        <v>136</v>
      </c>
      <c r="F22" t="s">
        <v>137</v>
      </c>
      <c r="G22" t="s">
        <v>138</v>
      </c>
      <c r="H22" t="s">
        <v>139</v>
      </c>
      <c r="I22" t="s">
        <v>140</v>
      </c>
      <c r="J22" t="s">
        <v>141</v>
      </c>
      <c r="K22" t="s">
        <v>142</v>
      </c>
      <c r="L22" t="s">
        <v>143</v>
      </c>
      <c r="M22" t="s">
        <v>144</v>
      </c>
      <c r="N22" t="s">
        <v>145</v>
      </c>
      <c r="O22" t="s">
        <v>146</v>
      </c>
      <c r="P22" t="s">
        <v>147</v>
      </c>
      <c r="Q22" t="s">
        <v>148</v>
      </c>
      <c r="R22" t="s">
        <v>149</v>
      </c>
      <c r="S22" t="s">
        <v>150</v>
      </c>
      <c r="T22" t="s">
        <v>151</v>
      </c>
      <c r="U22" t="s">
        <v>152</v>
      </c>
      <c r="V22" t="s">
        <v>153</v>
      </c>
      <c r="W22" t="s">
        <v>154</v>
      </c>
      <c r="X22" t="s">
        <v>155</v>
      </c>
      <c r="Y22" t="s">
        <v>156</v>
      </c>
      <c r="Z22" t="s">
        <v>157</v>
      </c>
      <c r="AA22" t="s">
        <v>158</v>
      </c>
      <c r="AB22" t="s">
        <v>159</v>
      </c>
      <c r="AC22" t="s">
        <v>160</v>
      </c>
      <c r="AD22" t="s">
        <v>161</v>
      </c>
      <c r="AE22" t="s">
        <v>162</v>
      </c>
      <c r="AF22" t="s">
        <v>163</v>
      </c>
      <c r="AG22" t="s">
        <v>164</v>
      </c>
      <c r="AH22" t="s">
        <v>165</v>
      </c>
      <c r="AI22" t="s">
        <v>166</v>
      </c>
      <c r="AJ22" t="s">
        <v>167</v>
      </c>
      <c r="AK22" t="s">
        <v>168</v>
      </c>
      <c r="AL22" t="s">
        <v>169</v>
      </c>
      <c r="AM22" t="s">
        <v>170</v>
      </c>
      <c r="AN22" t="s">
        <v>171</v>
      </c>
      <c r="AO22" t="s">
        <v>172</v>
      </c>
      <c r="AP22" t="s">
        <v>173</v>
      </c>
      <c r="AQ22" t="s">
        <v>174</v>
      </c>
      <c r="AR22" t="s">
        <v>175</v>
      </c>
      <c r="AS22" t="s">
        <v>176</v>
      </c>
      <c r="AT22" t="s">
        <v>177</v>
      </c>
      <c r="AU22" t="s">
        <v>178</v>
      </c>
      <c r="AV22" t="s">
        <v>179</v>
      </c>
      <c r="AW22" t="s">
        <v>180</v>
      </c>
      <c r="AX22" t="s">
        <v>181</v>
      </c>
      <c r="AY22" t="s">
        <v>182</v>
      </c>
      <c r="AZ22" t="s">
        <v>183</v>
      </c>
      <c r="BA22" t="s">
        <v>184</v>
      </c>
      <c r="BB22" t="s">
        <v>185</v>
      </c>
    </row>
    <row r="23" spans="2:54" x14ac:dyDescent="0.2">
      <c r="B23" t="s">
        <v>118</v>
      </c>
      <c r="D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4</v>
      </c>
      <c r="E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4</v>
      </c>
      <c r="F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4</v>
      </c>
      <c r="G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H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I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J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K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L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M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N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O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P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Q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R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S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T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U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V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W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X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Y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Z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AA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AB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AC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2</v>
      </c>
      <c r="AD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AE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AF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AG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AH23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1</v>
      </c>
      <c r="AI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J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K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L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M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N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O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P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Q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R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S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T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U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V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W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X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Y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AZ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BA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  <c r="BB23" t="e">
        <f ca="1">IF(INDIRECT(ADDRESS(COLUMN()+63,SUMPRODUCT(((INDIRECT("Tabeller!$B$1:"&amp;ADDRESS(1,Resultat!$L$1+1)))=$B23)*(INDIRECT("Tabeller!$B$6:"&amp;ADDRESS(6,Resultat!$L$1+1))))+1,1,,"Tabeller"))="","",INDIRECT(ADDRESS(COLUMN()+63,SUMPRODUCT(((INDIRECT("Tabeller!$B$1:"&amp;ADDRESS(1,Resultat!$L$1+1)))=$B23)*(INDIRECT("Tabeller!$B$6:"&amp;ADDRESS(6,Resultat!$L$1+1))))+1,,,"Tabeller")))</f>
        <v>#N/A</v>
      </c>
    </row>
    <row r="24" spans="2:54" x14ac:dyDescent="0.2">
      <c r="B24" t="s">
        <v>98</v>
      </c>
      <c r="D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4</v>
      </c>
      <c r="E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5</v>
      </c>
      <c r="F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5</v>
      </c>
      <c r="G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3</v>
      </c>
      <c r="H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3</v>
      </c>
      <c r="I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2</v>
      </c>
      <c r="J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2</v>
      </c>
      <c r="K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L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M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N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O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P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Q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R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S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T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U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V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W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X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Y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Z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AA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AB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AC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1</v>
      </c>
      <c r="AD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2</v>
      </c>
      <c r="AE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2</v>
      </c>
      <c r="AF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2</v>
      </c>
      <c r="AG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2</v>
      </c>
      <c r="AH24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2</v>
      </c>
      <c r="AI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J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K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L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M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N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O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P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Q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R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S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T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U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V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W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X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Y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AZ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BA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  <c r="BB24" t="e">
        <f ca="1">IF(INDIRECT(ADDRESS(COLUMN()+63,SUMPRODUCT(((INDIRECT("Tabeller!$B$1:"&amp;ADDRESS(1,Resultat!$L$1+1)))=$B24)*(INDIRECT("Tabeller!$B$6:"&amp;ADDRESS(6,Resultat!$L$1+1))))+1,1,,"Tabeller"))="","",INDIRECT(ADDRESS(COLUMN()+63,SUMPRODUCT(((INDIRECT("Tabeller!$B$1:"&amp;ADDRESS(1,Resultat!$L$1+1)))=$B24)*(INDIRECT("Tabeller!$B$6:"&amp;ADDRESS(6,Resultat!$L$1+1))))+1,,,"Tabeller")))</f>
        <v>#N/A</v>
      </c>
    </row>
    <row r="25" spans="2:54" x14ac:dyDescent="0.2">
      <c r="B25" t="s">
        <v>97</v>
      </c>
      <c r="D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1</v>
      </c>
      <c r="E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1</v>
      </c>
      <c r="F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1</v>
      </c>
      <c r="G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2</v>
      </c>
      <c r="H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2</v>
      </c>
      <c r="I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J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K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L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M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N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O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P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Q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R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S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T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U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V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W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X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Y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Z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A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B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C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D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E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F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G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H25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3</v>
      </c>
      <c r="AI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J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K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L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M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N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O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P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Q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R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S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T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U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V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W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X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Y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AZ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BA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  <c r="BB25" t="e">
        <f ca="1">IF(INDIRECT(ADDRESS(COLUMN()+63,SUMPRODUCT(((INDIRECT("Tabeller!$B$1:"&amp;ADDRESS(1,Resultat!$L$1+1)))=$B25)*(INDIRECT("Tabeller!$B$6:"&amp;ADDRESS(6,Resultat!$L$1+1))))+1,1,,"Tabeller"))="","",INDIRECT(ADDRESS(COLUMN()+63,SUMPRODUCT(((INDIRECT("Tabeller!$B$1:"&amp;ADDRESS(1,Resultat!$L$1+1)))=$B25)*(INDIRECT("Tabeller!$B$6:"&amp;ADDRESS(6,Resultat!$L$1+1))))+1,,,"Tabeller")))</f>
        <v>#N/A</v>
      </c>
    </row>
    <row r="26" spans="2:54" x14ac:dyDescent="0.2">
      <c r="B26" t="s">
        <v>187</v>
      </c>
      <c r="D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1</v>
      </c>
      <c r="E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2</v>
      </c>
      <c r="F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2</v>
      </c>
      <c r="G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H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I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J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K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L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3</v>
      </c>
      <c r="M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3</v>
      </c>
      <c r="N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3</v>
      </c>
      <c r="O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3</v>
      </c>
      <c r="P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3</v>
      </c>
      <c r="Q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3</v>
      </c>
      <c r="R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3</v>
      </c>
      <c r="S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3</v>
      </c>
      <c r="T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U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V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W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X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Y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Z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A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B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C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D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E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F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G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H26" s="71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4</v>
      </c>
      <c r="AI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J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K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L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M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N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O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P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Q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R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S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T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U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V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W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X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Y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AZ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BA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  <c r="BB26" s="71" t="e">
        <f ca="1">IF(INDIRECT(ADDRESS(COLUMN()+63,SUMPRODUCT(((INDIRECT("Tabeller!$B$1:"&amp;ADDRESS(1,Resultat!$L$1+1)))=$B26)*(INDIRECT("Tabeller!$B$6:"&amp;ADDRESS(6,Resultat!$L$1+1))))+1,1,,"Tabeller"))="","",INDIRECT(ADDRESS(COLUMN()+63,SUMPRODUCT(((INDIRECT("Tabeller!$B$1:"&amp;ADDRESS(1,Resultat!$L$1+1)))=$B26)*(INDIRECT("Tabeller!$B$6:"&amp;ADDRESS(6,Resultat!$L$1+1))))+1,,,"Tabeller")))</f>
        <v>#N/A</v>
      </c>
    </row>
    <row r="27" spans="2:54" x14ac:dyDescent="0.2">
      <c r="B27" t="s">
        <v>189</v>
      </c>
      <c r="D27" s="71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1</v>
      </c>
      <c r="E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2</v>
      </c>
      <c r="F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3</v>
      </c>
      <c r="G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H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I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J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K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L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M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N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O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P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Q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R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S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T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U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V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W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X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Y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Z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A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B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C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D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E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F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G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H27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5</v>
      </c>
      <c r="AI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J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K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L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M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N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O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P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Q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R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S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T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U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V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W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X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Y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AZ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BA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  <c r="BB27" t="e">
        <f ca="1">IF(INDIRECT(ADDRESS(COLUMN()+63,SUMPRODUCT(((INDIRECT("Tabeller!$B$1:"&amp;ADDRESS(1,Resultat!$L$1+1)))=$B27)*(INDIRECT("Tabeller!$B$6:"&amp;ADDRESS(6,Resultat!$L$1+1))))+1,1,,"Tabeller"))="","",INDIRECT(ADDRESS(COLUMN()+63,SUMPRODUCT(((INDIRECT("Tabeller!$B$1:"&amp;ADDRESS(1,Resultat!$L$1+1)))=$B27)*(INDIRECT("Tabeller!$B$6:"&amp;ADDRESS(6,Resultat!$L$1+1))))+1,,,"Tabeller")))</f>
        <v>#N/A</v>
      </c>
    </row>
    <row r="28" spans="2:54" x14ac:dyDescent="0.2">
      <c r="D28" s="71"/>
    </row>
    <row r="29" spans="2:54" x14ac:dyDescent="0.2">
      <c r="D29" s="71"/>
    </row>
    <row r="30" spans="2:54" x14ac:dyDescent="0.2">
      <c r="D30" s="71"/>
    </row>
  </sheetData>
  <phoneticPr fontId="15" type="noConversion"/>
  <pageMargins left="0.7" right="0.7" top="0.75" bottom="0.75" header="0.3" footer="0.3"/>
  <pageSetup paperSize="9" orientation="landscape" horizontalDpi="0" verticalDpi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 enableFormatConditionsCalculation="0">
    <pageSetUpPr autoPageBreaks="0"/>
  </sheetPr>
  <dimension ref="A1:X557"/>
  <sheetViews>
    <sheetView workbookViewId="0">
      <pane xSplit="15" ySplit="6" topLeftCell="P7" activePane="bottomRight" state="frozen"/>
      <selection pane="topRight" activeCell="P1" sqref="P1"/>
      <selection pane="bottomLeft" activeCell="A7" sqref="A7"/>
      <selection pane="bottomRight" activeCell="E2" sqref="E2:F557"/>
    </sheetView>
  </sheetViews>
  <sheetFormatPr baseColWidth="10" defaultRowHeight="16" outlineLevelRow="1" x14ac:dyDescent="0.2"/>
  <cols>
    <col min="2" max="2" width="11.5" customWidth="1"/>
    <col min="5" max="5" width="10.83203125" customWidth="1"/>
    <col min="7" max="7" width="11" bestFit="1" customWidth="1"/>
  </cols>
  <sheetData>
    <row r="1" spans="1:24" x14ac:dyDescent="0.2">
      <c r="A1" s="54"/>
      <c r="B1" s="53" t="s">
        <v>97</v>
      </c>
      <c r="C1" s="53" t="s">
        <v>98</v>
      </c>
      <c r="D1" s="53" t="s">
        <v>118</v>
      </c>
      <c r="E1" s="53" t="s">
        <v>187</v>
      </c>
      <c r="F1" s="53" t="s">
        <v>189</v>
      </c>
      <c r="G1" s="53"/>
      <c r="J1" s="53"/>
      <c r="K1" s="53"/>
      <c r="L1" s="53"/>
      <c r="M1" s="53"/>
      <c r="N1" s="53"/>
    </row>
    <row r="2" spans="1:24" x14ac:dyDescent="0.2">
      <c r="A2" s="53" t="s">
        <v>99</v>
      </c>
      <c r="B2" s="54">
        <f t="shared" ref="B2:E2" ca="1" si="0">INDIRECT(ADDRESS(1,11,,,B1))</f>
        <v>29</v>
      </c>
      <c r="C2" s="54">
        <f t="shared" ca="1" si="0"/>
        <v>41</v>
      </c>
      <c r="D2" s="54">
        <f t="shared" ca="1" si="0"/>
        <v>43</v>
      </c>
      <c r="E2" s="54">
        <f t="shared" ca="1" si="0"/>
        <v>24</v>
      </c>
      <c r="F2" s="54">
        <f t="shared" ref="F2" ca="1" si="1">INDIRECT(ADDRESS(1,11,,,F1))</f>
        <v>23</v>
      </c>
      <c r="G2" s="54"/>
      <c r="H2" s="54"/>
      <c r="I2" s="54"/>
      <c r="J2" s="54"/>
      <c r="K2" s="54"/>
      <c r="L2" s="54"/>
      <c r="M2" s="54"/>
      <c r="N2" s="54"/>
    </row>
    <row r="3" spans="1:24" x14ac:dyDescent="0.2">
      <c r="A3" s="54" t="s">
        <v>100</v>
      </c>
      <c r="B3">
        <f ca="1">COUNTIFS(INDIRECT(B1&amp;"!$K$13:$K$64"),Resultat!$AA$3+Resultat!$AA$4)</f>
        <v>5</v>
      </c>
      <c r="C3">
        <f ca="1">COUNTIFS(INDIRECT(C1&amp;"!$K$13:$K$64"),Resultat!$AA$3+Resultat!$AA$4)</f>
        <v>7</v>
      </c>
      <c r="D3">
        <f ca="1">COUNTIFS(INDIRECT(D1&amp;"!$K$13:$K$64"),Resultat!$AA$3+Resultat!$AA$4)</f>
        <v>7</v>
      </c>
      <c r="E3">
        <f ca="1">COUNTIFS(INDIRECT(E1&amp;"!$K$13:$K$64"),Resultat!$AA$3+Resultat!$AA$4)</f>
        <v>0</v>
      </c>
      <c r="F3">
        <f ca="1">COUNTIFS(INDIRECT(F1&amp;"!$K$13:$K$64"),Resultat!$AA$3+Resultat!$AA$4)</f>
        <v>3</v>
      </c>
      <c r="J3" s="54"/>
      <c r="K3" s="54"/>
      <c r="L3" s="54"/>
      <c r="M3" s="54"/>
      <c r="N3" s="54"/>
    </row>
    <row r="4" spans="1:24" x14ac:dyDescent="0.2">
      <c r="A4" s="54" t="s">
        <v>101</v>
      </c>
      <c r="B4">
        <f ca="1">COUNTIFS(INDIRECT(B1&amp;"!$K$13:$K$64"),Resultat!$AA$3)</f>
        <v>2</v>
      </c>
      <c r="C4">
        <f ca="1">COUNTIFS(INDIRECT(C1&amp;"!$K$13:$K$64"),Resultat!$AA$3)</f>
        <v>5</v>
      </c>
      <c r="D4">
        <f ca="1">COUNTIFS(INDIRECT(D1&amp;"!$K$13:$K$64"),Resultat!$AA$3)</f>
        <v>6</v>
      </c>
      <c r="E4">
        <f ca="1">COUNTIFS(INDIRECT(E1&amp;"!$K$13:$K$64"),Resultat!$AA$3)</f>
        <v>7</v>
      </c>
      <c r="F4">
        <f ca="1">COUNTIFS(INDIRECT(F1&amp;"!$K$13:$K$64"),Resultat!$AA$3)</f>
        <v>4</v>
      </c>
      <c r="J4" s="54"/>
      <c r="K4" s="54"/>
      <c r="L4" s="54"/>
      <c r="M4" s="54"/>
      <c r="N4" s="54"/>
    </row>
    <row r="5" spans="1:24" x14ac:dyDescent="0.2">
      <c r="A5" s="54"/>
      <c r="J5" s="53"/>
      <c r="K5" s="53"/>
      <c r="L5" s="53"/>
      <c r="M5" s="53"/>
      <c r="N5" s="53"/>
    </row>
    <row r="6" spans="1:24" x14ac:dyDescent="0.2">
      <c r="A6" s="54" t="s">
        <v>186</v>
      </c>
      <c r="B6" s="54">
        <v>1</v>
      </c>
      <c r="C6" s="54">
        <v>2</v>
      </c>
      <c r="D6" s="54">
        <v>3</v>
      </c>
      <c r="E6" s="54">
        <v>4</v>
      </c>
      <c r="F6" s="54">
        <v>5</v>
      </c>
      <c r="G6" s="54"/>
      <c r="H6" s="54"/>
      <c r="I6" s="54"/>
      <c r="J6" s="54"/>
      <c r="K6" s="54"/>
      <c r="L6" s="54"/>
      <c r="M6" s="54"/>
      <c r="N6" s="54"/>
    </row>
    <row r="7" spans="1:24" x14ac:dyDescent="0.2">
      <c r="A7" s="54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X7" t="s">
        <v>109</v>
      </c>
    </row>
    <row r="8" spans="1:24" x14ac:dyDescent="0.2">
      <c r="A8" s="54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</row>
    <row r="9" spans="1:24" x14ac:dyDescent="0.2">
      <c r="A9" s="54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</row>
    <row r="10" spans="1:24" x14ac:dyDescent="0.2">
      <c r="B10" s="71" t="s">
        <v>99</v>
      </c>
      <c r="C10" s="71"/>
      <c r="D10" s="71"/>
      <c r="E10" s="71"/>
      <c r="F10" s="71"/>
      <c r="G10" s="71"/>
      <c r="H10" s="71"/>
      <c r="I10" s="71"/>
    </row>
    <row r="11" spans="1:24" outlineLevel="1" x14ac:dyDescent="0.2">
      <c r="A11" t="s">
        <v>102</v>
      </c>
      <c r="B11" s="73" t="str">
        <f>B$1</f>
        <v>Jocke</v>
      </c>
      <c r="C11" s="73" t="str">
        <f t="shared" ref="C11:F11" si="2">C$1</f>
        <v>Markus</v>
      </c>
      <c r="D11" s="73" t="str">
        <f t="shared" si="2"/>
        <v>Rickard</v>
      </c>
      <c r="E11" s="73" t="str">
        <f t="shared" si="2"/>
        <v>Tomas</v>
      </c>
      <c r="F11" s="73" t="str">
        <f t="shared" si="2"/>
        <v>Kalle</v>
      </c>
      <c r="G11" s="73"/>
      <c r="H11" s="73"/>
      <c r="I11" s="73"/>
    </row>
    <row r="12" spans="1:24" outlineLevel="1" x14ac:dyDescent="0.2">
      <c r="A12">
        <v>1</v>
      </c>
      <c r="B12">
        <f t="shared" ref="B12:E21" ca="1" si="3">IF(INDIRECT(B$1&amp;"!$K"&amp;$A12+12)="",#N/A,SUM(INDIRECT(B$1&amp;"!$K$13:$K"&amp;$A12+12))+B397+B452)</f>
        <v>4</v>
      </c>
      <c r="C12">
        <f t="shared" ca="1" si="3"/>
        <v>2</v>
      </c>
      <c r="D12">
        <f t="shared" ca="1" si="3"/>
        <v>2</v>
      </c>
      <c r="E12">
        <f t="shared" ca="1" si="3"/>
        <v>4</v>
      </c>
      <c r="F12">
        <f t="shared" ref="F12" ca="1" si="4">IF(INDIRECT(F$1&amp;"!$K"&amp;$A12+12)="",#N/A,SUM(INDIRECT(F$1&amp;"!$K$13:$K"&amp;$A12+12))+F397+F452)</f>
        <v>4</v>
      </c>
    </row>
    <row r="13" spans="1:24" outlineLevel="1" x14ac:dyDescent="0.2">
      <c r="A13">
        <v>2</v>
      </c>
      <c r="B13">
        <f t="shared" ca="1" si="3"/>
        <v>10</v>
      </c>
      <c r="C13">
        <f t="shared" ca="1" si="3"/>
        <v>4</v>
      </c>
      <c r="D13">
        <f t="shared" ca="1" si="3"/>
        <v>7</v>
      </c>
      <c r="E13">
        <f t="shared" ca="1" si="3"/>
        <v>8</v>
      </c>
      <c r="F13">
        <f t="shared" ref="F13" ca="1" si="5">IF(INDIRECT(F$1&amp;"!$K"&amp;$A13+12)="",#N/A,SUM(INDIRECT(F$1&amp;"!$K$13:$K"&amp;$A13+12))+F398+F453)</f>
        <v>8</v>
      </c>
    </row>
    <row r="14" spans="1:24" outlineLevel="1" x14ac:dyDescent="0.2">
      <c r="A14">
        <v>3</v>
      </c>
      <c r="B14">
        <f t="shared" ca="1" si="3"/>
        <v>12</v>
      </c>
      <c r="C14">
        <f t="shared" ca="1" si="3"/>
        <v>4</v>
      </c>
      <c r="D14">
        <f t="shared" ca="1" si="3"/>
        <v>7</v>
      </c>
      <c r="E14">
        <f t="shared" ca="1" si="3"/>
        <v>10</v>
      </c>
      <c r="F14">
        <f t="shared" ref="F14" ca="1" si="6">IF(INDIRECT(F$1&amp;"!$K"&amp;$A14+12)="",#N/A,SUM(INDIRECT(F$1&amp;"!$K$13:$K"&amp;$A14+12))+F399+F454)</f>
        <v>8</v>
      </c>
    </row>
    <row r="15" spans="1:24" outlineLevel="1" x14ac:dyDescent="0.2">
      <c r="A15">
        <v>4</v>
      </c>
      <c r="B15">
        <f t="shared" ca="1" si="3"/>
        <v>12</v>
      </c>
      <c r="C15">
        <f t="shared" ca="1" si="3"/>
        <v>11</v>
      </c>
      <c r="D15">
        <f t="shared" ca="1" si="3"/>
        <v>14</v>
      </c>
      <c r="E15">
        <f t="shared" ca="1" si="3"/>
        <v>10</v>
      </c>
      <c r="F15">
        <f t="shared" ref="F15" ca="1" si="7">IF(INDIRECT(F$1&amp;"!$K"&amp;$A15+12)="",#N/A,SUM(INDIRECT(F$1&amp;"!$K$13:$K"&amp;$A15+12))+F400+F455)</f>
        <v>8</v>
      </c>
    </row>
    <row r="16" spans="1:24" outlineLevel="1" x14ac:dyDescent="0.2">
      <c r="A16">
        <v>5</v>
      </c>
      <c r="B16">
        <f t="shared" ca="1" si="3"/>
        <v>12</v>
      </c>
      <c r="C16">
        <f t="shared" ca="1" si="3"/>
        <v>11</v>
      </c>
      <c r="D16">
        <f t="shared" ca="1" si="3"/>
        <v>14</v>
      </c>
      <c r="E16">
        <f t="shared" ca="1" si="3"/>
        <v>10</v>
      </c>
      <c r="F16">
        <f t="shared" ref="F16" ca="1" si="8">IF(INDIRECT(F$1&amp;"!$K"&amp;$A16+12)="",#N/A,SUM(INDIRECT(F$1&amp;"!$K$13:$K"&amp;$A16+12))+F401+F456)</f>
        <v>8</v>
      </c>
    </row>
    <row r="17" spans="1:6" outlineLevel="1" x14ac:dyDescent="0.2">
      <c r="A17">
        <v>6</v>
      </c>
      <c r="B17">
        <f t="shared" ca="1" si="3"/>
        <v>12</v>
      </c>
      <c r="C17">
        <f t="shared" ca="1" si="3"/>
        <v>14</v>
      </c>
      <c r="D17">
        <f t="shared" ca="1" si="3"/>
        <v>17</v>
      </c>
      <c r="E17">
        <f t="shared" ca="1" si="3"/>
        <v>10</v>
      </c>
      <c r="F17">
        <f t="shared" ref="F17" ca="1" si="9">IF(INDIRECT(F$1&amp;"!$K"&amp;$A17+12)="",#N/A,SUM(INDIRECT(F$1&amp;"!$K$13:$K"&amp;$A17+12))+F402+F457)</f>
        <v>8</v>
      </c>
    </row>
    <row r="18" spans="1:6" outlineLevel="1" x14ac:dyDescent="0.2">
      <c r="A18">
        <v>7</v>
      </c>
      <c r="B18">
        <f t="shared" ca="1" si="3"/>
        <v>12</v>
      </c>
      <c r="C18">
        <f t="shared" ca="1" si="3"/>
        <v>17</v>
      </c>
      <c r="D18">
        <f t="shared" ca="1" si="3"/>
        <v>19</v>
      </c>
      <c r="E18">
        <f t="shared" ca="1" si="3"/>
        <v>10</v>
      </c>
      <c r="F18">
        <f t="shared" ref="F18" ca="1" si="10">IF(INDIRECT(F$1&amp;"!$K"&amp;$A18+12)="",#N/A,SUM(INDIRECT(F$1&amp;"!$K$13:$K"&amp;$A18+12))+F403+F458)</f>
        <v>8</v>
      </c>
    </row>
    <row r="19" spans="1:6" outlineLevel="1" x14ac:dyDescent="0.2">
      <c r="A19">
        <v>8</v>
      </c>
      <c r="B19">
        <f t="shared" ca="1" si="3"/>
        <v>12</v>
      </c>
      <c r="C19">
        <f t="shared" ca="1" si="3"/>
        <v>19</v>
      </c>
      <c r="D19">
        <f t="shared" ca="1" si="3"/>
        <v>19</v>
      </c>
      <c r="E19">
        <f t="shared" ca="1" si="3"/>
        <v>10</v>
      </c>
      <c r="F19">
        <f t="shared" ref="F19" ca="1" si="11">IF(INDIRECT(F$1&amp;"!$K"&amp;$A19+12)="",#N/A,SUM(INDIRECT(F$1&amp;"!$K$13:$K"&amp;$A19+12))+F404+F459)</f>
        <v>8</v>
      </c>
    </row>
    <row r="20" spans="1:6" outlineLevel="1" x14ac:dyDescent="0.2">
      <c r="A20">
        <v>9</v>
      </c>
      <c r="B20">
        <f t="shared" ca="1" si="3"/>
        <v>12</v>
      </c>
      <c r="C20">
        <f t="shared" ca="1" si="3"/>
        <v>22</v>
      </c>
      <c r="D20">
        <f t="shared" ca="1" si="3"/>
        <v>22</v>
      </c>
      <c r="E20">
        <f t="shared" ca="1" si="3"/>
        <v>12</v>
      </c>
      <c r="F20">
        <f t="shared" ref="F20" ca="1" si="12">IF(INDIRECT(F$1&amp;"!$K"&amp;$A20+12)="",#N/A,SUM(INDIRECT(F$1&amp;"!$K$13:$K"&amp;$A20+12))+F405+F460)</f>
        <v>8</v>
      </c>
    </row>
    <row r="21" spans="1:6" outlineLevel="1" x14ac:dyDescent="0.2">
      <c r="A21">
        <v>10</v>
      </c>
      <c r="B21">
        <f t="shared" ca="1" si="3"/>
        <v>12</v>
      </c>
      <c r="C21">
        <f t="shared" ca="1" si="3"/>
        <v>22</v>
      </c>
      <c r="D21">
        <f t="shared" ca="1" si="3"/>
        <v>22</v>
      </c>
      <c r="E21">
        <f t="shared" ca="1" si="3"/>
        <v>12</v>
      </c>
      <c r="F21">
        <f t="shared" ref="F21" ca="1" si="13">IF(INDIRECT(F$1&amp;"!$K"&amp;$A21+12)="",#N/A,SUM(INDIRECT(F$1&amp;"!$K$13:$K"&amp;$A21+12))+F406+F461)</f>
        <v>8</v>
      </c>
    </row>
    <row r="22" spans="1:6" outlineLevel="1" x14ac:dyDescent="0.2">
      <c r="A22">
        <v>11</v>
      </c>
      <c r="B22">
        <f t="shared" ref="B22:E31" ca="1" si="14">IF(INDIRECT(B$1&amp;"!$K"&amp;$A22+12)="",#N/A,SUM(INDIRECT(B$1&amp;"!$K$13:$K"&amp;$A22+12))+B407+B462)</f>
        <v>12</v>
      </c>
      <c r="C22">
        <f t="shared" ca="1" si="14"/>
        <v>24</v>
      </c>
      <c r="D22">
        <f t="shared" ca="1" si="14"/>
        <v>24</v>
      </c>
      <c r="E22">
        <f t="shared" ca="1" si="14"/>
        <v>12</v>
      </c>
      <c r="F22">
        <f t="shared" ref="F22" ca="1" si="15">IF(INDIRECT(F$1&amp;"!$K"&amp;$A22+12)="",#N/A,SUM(INDIRECT(F$1&amp;"!$K$13:$K"&amp;$A22+12))+F407+F462)</f>
        <v>8</v>
      </c>
    </row>
    <row r="23" spans="1:6" outlineLevel="1" x14ac:dyDescent="0.2">
      <c r="A23">
        <v>12</v>
      </c>
      <c r="B23">
        <f t="shared" ca="1" si="14"/>
        <v>14</v>
      </c>
      <c r="C23">
        <f t="shared" ca="1" si="14"/>
        <v>24</v>
      </c>
      <c r="D23">
        <f t="shared" ca="1" si="14"/>
        <v>24</v>
      </c>
      <c r="E23">
        <f t="shared" ca="1" si="14"/>
        <v>14</v>
      </c>
      <c r="F23">
        <f t="shared" ref="F23" ca="1" si="16">IF(INDIRECT(F$1&amp;"!$K"&amp;$A23+12)="",#N/A,SUM(INDIRECT(F$1&amp;"!$K$13:$K"&amp;$A23+12))+F408+F463)</f>
        <v>11</v>
      </c>
    </row>
    <row r="24" spans="1:6" outlineLevel="1" x14ac:dyDescent="0.2">
      <c r="A24">
        <v>13</v>
      </c>
      <c r="B24">
        <f t="shared" ca="1" si="14"/>
        <v>14</v>
      </c>
      <c r="C24">
        <f t="shared" ca="1" si="14"/>
        <v>27</v>
      </c>
      <c r="D24">
        <f t="shared" ca="1" si="14"/>
        <v>24</v>
      </c>
      <c r="E24">
        <f t="shared" ca="1" si="14"/>
        <v>14</v>
      </c>
      <c r="F24">
        <f t="shared" ref="F24" ca="1" si="17">IF(INDIRECT(F$1&amp;"!$K"&amp;$A24+12)="",#N/A,SUM(INDIRECT(F$1&amp;"!$K$13:$K"&amp;$A24+12))+F409+F464)</f>
        <v>11</v>
      </c>
    </row>
    <row r="25" spans="1:6" outlineLevel="1" x14ac:dyDescent="0.2">
      <c r="A25">
        <v>14</v>
      </c>
      <c r="B25">
        <f t="shared" ca="1" si="14"/>
        <v>14</v>
      </c>
      <c r="C25">
        <f t="shared" ca="1" si="14"/>
        <v>29</v>
      </c>
      <c r="D25">
        <f t="shared" ca="1" si="14"/>
        <v>26</v>
      </c>
      <c r="E25">
        <f t="shared" ca="1" si="14"/>
        <v>14</v>
      </c>
      <c r="F25">
        <f t="shared" ref="F25" ca="1" si="18">IF(INDIRECT(F$1&amp;"!$K"&amp;$A25+12)="",#N/A,SUM(INDIRECT(F$1&amp;"!$K$13:$K"&amp;$A25+12))+F410+F465)</f>
        <v>11</v>
      </c>
    </row>
    <row r="26" spans="1:6" outlineLevel="1" x14ac:dyDescent="0.2">
      <c r="A26">
        <v>15</v>
      </c>
      <c r="B26">
        <f t="shared" ca="1" si="14"/>
        <v>14</v>
      </c>
      <c r="C26">
        <f t="shared" ca="1" si="14"/>
        <v>31</v>
      </c>
      <c r="D26">
        <f t="shared" ca="1" si="14"/>
        <v>28</v>
      </c>
      <c r="E26">
        <f t="shared" ca="1" si="14"/>
        <v>14</v>
      </c>
      <c r="F26">
        <f t="shared" ref="F26" ca="1" si="19">IF(INDIRECT(F$1&amp;"!$K"&amp;$A26+12)="",#N/A,SUM(INDIRECT(F$1&amp;"!$K$13:$K"&amp;$A26+12))+F411+F466)</f>
        <v>11</v>
      </c>
    </row>
    <row r="27" spans="1:6" outlineLevel="1" x14ac:dyDescent="0.2">
      <c r="A27">
        <v>16</v>
      </c>
      <c r="B27">
        <f t="shared" ca="1" si="14"/>
        <v>14</v>
      </c>
      <c r="C27">
        <f t="shared" ca="1" si="14"/>
        <v>36</v>
      </c>
      <c r="D27">
        <f t="shared" ca="1" si="14"/>
        <v>33</v>
      </c>
      <c r="E27">
        <f t="shared" ca="1" si="14"/>
        <v>14</v>
      </c>
      <c r="F27">
        <f t="shared" ref="F27" ca="1" si="20">IF(INDIRECT(F$1&amp;"!$K"&amp;$A27+12)="",#N/A,SUM(INDIRECT(F$1&amp;"!$K$13:$K"&amp;$A27+12))+F412+F467)</f>
        <v>11</v>
      </c>
    </row>
    <row r="28" spans="1:6" outlineLevel="1" x14ac:dyDescent="0.2">
      <c r="A28">
        <v>17</v>
      </c>
      <c r="B28">
        <f t="shared" ca="1" si="14"/>
        <v>17</v>
      </c>
      <c r="C28">
        <f t="shared" ca="1" si="14"/>
        <v>36</v>
      </c>
      <c r="D28">
        <f t="shared" ca="1" si="14"/>
        <v>33</v>
      </c>
      <c r="E28">
        <f t="shared" ca="1" si="14"/>
        <v>16</v>
      </c>
      <c r="F28">
        <f t="shared" ref="F28" ca="1" si="21">IF(INDIRECT(F$1&amp;"!$K"&amp;$A28+12)="",#N/A,SUM(INDIRECT(F$1&amp;"!$K$13:$K"&amp;$A28+12))+F413+F468)</f>
        <v>14</v>
      </c>
    </row>
    <row r="29" spans="1:6" outlineLevel="1" x14ac:dyDescent="0.2">
      <c r="A29">
        <v>18</v>
      </c>
      <c r="B29">
        <f t="shared" ca="1" si="14"/>
        <v>17</v>
      </c>
      <c r="C29">
        <f t="shared" ca="1" si="14"/>
        <v>36</v>
      </c>
      <c r="D29">
        <f t="shared" ca="1" si="14"/>
        <v>33</v>
      </c>
      <c r="E29">
        <f t="shared" ca="1" si="14"/>
        <v>16</v>
      </c>
      <c r="F29">
        <f t="shared" ref="F29" ca="1" si="22">IF(INDIRECT(F$1&amp;"!$K"&amp;$A29+12)="",#N/A,SUM(INDIRECT(F$1&amp;"!$K$13:$K"&amp;$A29+12))+F414+F469)</f>
        <v>14</v>
      </c>
    </row>
    <row r="30" spans="1:6" outlineLevel="1" x14ac:dyDescent="0.2">
      <c r="A30">
        <v>19</v>
      </c>
      <c r="B30">
        <f t="shared" ca="1" si="14"/>
        <v>17</v>
      </c>
      <c r="C30">
        <f t="shared" ca="1" si="14"/>
        <v>36</v>
      </c>
      <c r="D30">
        <f t="shared" ca="1" si="14"/>
        <v>33</v>
      </c>
      <c r="E30">
        <f t="shared" ca="1" si="14"/>
        <v>16</v>
      </c>
      <c r="F30">
        <f t="shared" ref="F30" ca="1" si="23">IF(INDIRECT(F$1&amp;"!$K"&amp;$A30+12)="",#N/A,SUM(INDIRECT(F$1&amp;"!$K$13:$K"&amp;$A30+12))+F415+F470)</f>
        <v>14</v>
      </c>
    </row>
    <row r="31" spans="1:6" outlineLevel="1" x14ac:dyDescent="0.2">
      <c r="A31">
        <v>20</v>
      </c>
      <c r="B31">
        <f t="shared" ca="1" si="14"/>
        <v>17</v>
      </c>
      <c r="C31">
        <f t="shared" ca="1" si="14"/>
        <v>38</v>
      </c>
      <c r="D31">
        <f t="shared" ca="1" si="14"/>
        <v>33</v>
      </c>
      <c r="E31">
        <f t="shared" ca="1" si="14"/>
        <v>16</v>
      </c>
      <c r="F31">
        <f t="shared" ref="F31" ca="1" si="24">IF(INDIRECT(F$1&amp;"!$K"&amp;$A31+12)="",#N/A,SUM(INDIRECT(F$1&amp;"!$K$13:$K"&amp;$A31+12))+F416+F471)</f>
        <v>14</v>
      </c>
    </row>
    <row r="32" spans="1:6" outlineLevel="1" x14ac:dyDescent="0.2">
      <c r="A32">
        <v>21</v>
      </c>
      <c r="B32">
        <f t="shared" ref="B32:E41" ca="1" si="25">IF(INDIRECT(B$1&amp;"!$K"&amp;$A32+12)="",#N/A,SUM(INDIRECT(B$1&amp;"!$K$13:$K"&amp;$A32+12))+B417+B472)</f>
        <v>20</v>
      </c>
      <c r="C32">
        <f t="shared" ca="1" si="25"/>
        <v>38</v>
      </c>
      <c r="D32">
        <f t="shared" ca="1" si="25"/>
        <v>33</v>
      </c>
      <c r="E32">
        <f t="shared" ca="1" si="25"/>
        <v>18</v>
      </c>
      <c r="F32">
        <f t="shared" ref="F32" ca="1" si="26">IF(INDIRECT(F$1&amp;"!$K"&amp;$A32+12)="",#N/A,SUM(INDIRECT(F$1&amp;"!$K$13:$K"&amp;$A32+12))+F417+F472)</f>
        <v>14</v>
      </c>
    </row>
    <row r="33" spans="1:13" outlineLevel="1" x14ac:dyDescent="0.2">
      <c r="A33">
        <v>22</v>
      </c>
      <c r="B33">
        <f t="shared" ca="1" si="25"/>
        <v>23</v>
      </c>
      <c r="C33">
        <f t="shared" ca="1" si="25"/>
        <v>38</v>
      </c>
      <c r="D33">
        <f t="shared" ca="1" si="25"/>
        <v>33</v>
      </c>
      <c r="E33">
        <f t="shared" ca="1" si="25"/>
        <v>20</v>
      </c>
      <c r="F33">
        <f t="shared" ref="F33" ca="1" si="27">IF(INDIRECT(F$1&amp;"!$K"&amp;$A33+12)="",#N/A,SUM(INDIRECT(F$1&amp;"!$K$13:$K"&amp;$A33+12))+F418+F473)</f>
        <v>14</v>
      </c>
    </row>
    <row r="34" spans="1:13" outlineLevel="1" x14ac:dyDescent="0.2">
      <c r="A34">
        <v>23</v>
      </c>
      <c r="B34">
        <f t="shared" ca="1" si="25"/>
        <v>23</v>
      </c>
      <c r="C34">
        <f t="shared" ca="1" si="25"/>
        <v>38</v>
      </c>
      <c r="D34">
        <f t="shared" ca="1" si="25"/>
        <v>33</v>
      </c>
      <c r="E34">
        <f t="shared" ca="1" si="25"/>
        <v>20</v>
      </c>
      <c r="F34">
        <f t="shared" ref="F34" ca="1" si="28">IF(INDIRECT(F$1&amp;"!$K"&amp;$A34+12)="",#N/A,SUM(INDIRECT(F$1&amp;"!$K$13:$K"&amp;$A34+12))+F419+F474)</f>
        <v>14</v>
      </c>
    </row>
    <row r="35" spans="1:13" outlineLevel="1" x14ac:dyDescent="0.2">
      <c r="A35">
        <v>24</v>
      </c>
      <c r="B35">
        <f t="shared" ca="1" si="25"/>
        <v>26</v>
      </c>
      <c r="C35">
        <f t="shared" ca="1" si="25"/>
        <v>38</v>
      </c>
      <c r="D35">
        <f t="shared" ca="1" si="25"/>
        <v>33</v>
      </c>
      <c r="E35">
        <f t="shared" ca="1" si="25"/>
        <v>22</v>
      </c>
      <c r="F35">
        <f t="shared" ref="F35" ca="1" si="29">IF(INDIRECT(F$1&amp;"!$K"&amp;$A35+12)="",#N/A,SUM(INDIRECT(F$1&amp;"!$K$13:$K"&amp;$A35+12))+F420+F475)</f>
        <v>14</v>
      </c>
    </row>
    <row r="36" spans="1:13" outlineLevel="1" x14ac:dyDescent="0.2">
      <c r="A36">
        <v>25</v>
      </c>
      <c r="B36">
        <f t="shared" ca="1" si="25"/>
        <v>26</v>
      </c>
      <c r="C36">
        <f t="shared" ca="1" si="25"/>
        <v>38</v>
      </c>
      <c r="D36">
        <f t="shared" ca="1" si="25"/>
        <v>35</v>
      </c>
      <c r="E36">
        <f t="shared" ca="1" si="25"/>
        <v>22</v>
      </c>
      <c r="F36">
        <f t="shared" ref="F36" ca="1" si="30">IF(INDIRECT(F$1&amp;"!$K"&amp;$A36+12)="",#N/A,SUM(INDIRECT(F$1&amp;"!$K$13:$K"&amp;$A36+12))+F421+F476)</f>
        <v>16</v>
      </c>
    </row>
    <row r="37" spans="1:13" outlineLevel="1" x14ac:dyDescent="0.2">
      <c r="A37">
        <v>26</v>
      </c>
      <c r="B37">
        <f t="shared" ca="1" si="25"/>
        <v>26</v>
      </c>
      <c r="C37">
        <f t="shared" ca="1" si="25"/>
        <v>38</v>
      </c>
      <c r="D37">
        <f t="shared" ca="1" si="25"/>
        <v>37</v>
      </c>
      <c r="E37">
        <f t="shared" ca="1" si="25"/>
        <v>22</v>
      </c>
      <c r="F37">
        <f t="shared" ref="F37" ca="1" si="31">IF(INDIRECT(F$1&amp;"!$K"&amp;$A37+12)="",#N/A,SUM(INDIRECT(F$1&amp;"!$K$13:$K"&amp;$A37+12))+F422+F477)</f>
        <v>19</v>
      </c>
    </row>
    <row r="38" spans="1:13" outlineLevel="1" x14ac:dyDescent="0.2">
      <c r="A38">
        <v>27</v>
      </c>
      <c r="B38">
        <f t="shared" ca="1" si="25"/>
        <v>26</v>
      </c>
      <c r="C38">
        <f t="shared" ca="1" si="25"/>
        <v>38</v>
      </c>
      <c r="D38">
        <f t="shared" ca="1" si="25"/>
        <v>40</v>
      </c>
      <c r="E38">
        <f t="shared" ca="1" si="25"/>
        <v>22</v>
      </c>
      <c r="F38">
        <f t="shared" ref="F38" ca="1" si="32">IF(INDIRECT(F$1&amp;"!$K"&amp;$A38+12)="",#N/A,SUM(INDIRECT(F$1&amp;"!$K$13:$K"&amp;$A38+12))+F423+F478)</f>
        <v>21</v>
      </c>
    </row>
    <row r="39" spans="1:13" outlineLevel="1" x14ac:dyDescent="0.2">
      <c r="A39">
        <v>28</v>
      </c>
      <c r="B39">
        <f t="shared" ca="1" si="25"/>
        <v>29</v>
      </c>
      <c r="C39">
        <f t="shared" ca="1" si="25"/>
        <v>38</v>
      </c>
      <c r="D39">
        <f t="shared" ca="1" si="25"/>
        <v>40</v>
      </c>
      <c r="E39">
        <f t="shared" ca="1" si="25"/>
        <v>24</v>
      </c>
      <c r="F39">
        <f t="shared" ref="F39" ca="1" si="33">IF(INDIRECT(F$1&amp;"!$K"&amp;$A39+12)="",#N/A,SUM(INDIRECT(F$1&amp;"!$K$13:$K"&amp;$A39+12))+F424+F479)</f>
        <v>21</v>
      </c>
    </row>
    <row r="40" spans="1:13" outlineLevel="1" x14ac:dyDescent="0.2">
      <c r="A40">
        <v>29</v>
      </c>
      <c r="B40">
        <f t="shared" ca="1" si="25"/>
        <v>29</v>
      </c>
      <c r="C40">
        <f t="shared" ca="1" si="25"/>
        <v>41</v>
      </c>
      <c r="D40">
        <f t="shared" ca="1" si="25"/>
        <v>43</v>
      </c>
      <c r="E40">
        <f t="shared" ca="1" si="25"/>
        <v>24</v>
      </c>
      <c r="F40">
        <f t="shared" ref="F40" ca="1" si="34">IF(INDIRECT(F$1&amp;"!$K"&amp;$A40+12)="",#N/A,SUM(INDIRECT(F$1&amp;"!$K$13:$K"&amp;$A40+12))+F425+F480)</f>
        <v>23</v>
      </c>
    </row>
    <row r="41" spans="1:13" outlineLevel="1" x14ac:dyDescent="0.2">
      <c r="A41">
        <v>30</v>
      </c>
      <c r="B41">
        <f t="shared" ca="1" si="25"/>
        <v>29</v>
      </c>
      <c r="C41">
        <f t="shared" ca="1" si="25"/>
        <v>41</v>
      </c>
      <c r="D41">
        <f t="shared" ca="1" si="25"/>
        <v>43</v>
      </c>
      <c r="E41">
        <f t="shared" ca="1" si="25"/>
        <v>24</v>
      </c>
      <c r="F41">
        <f t="shared" ref="F41" ca="1" si="35">IF(INDIRECT(F$1&amp;"!$K"&amp;$A41+12)="",#N/A,SUM(INDIRECT(F$1&amp;"!$K$13:$K"&amp;$A41+12))+F426+F481)</f>
        <v>23</v>
      </c>
    </row>
    <row r="42" spans="1:13" outlineLevel="1" x14ac:dyDescent="0.2">
      <c r="A42">
        <v>31</v>
      </c>
      <c r="B42">
        <f t="shared" ref="B42:E51" ca="1" si="36">IF(INDIRECT(B$1&amp;"!$K"&amp;$A42+12)="",#N/A,SUM(INDIRECT(B$1&amp;"!$K$13:$K"&amp;$A42+12))+B427+B482)</f>
        <v>29</v>
      </c>
      <c r="C42">
        <f t="shared" ca="1" si="36"/>
        <v>41</v>
      </c>
      <c r="D42">
        <f t="shared" ca="1" si="36"/>
        <v>43</v>
      </c>
      <c r="E42">
        <f t="shared" ca="1" si="36"/>
        <v>24</v>
      </c>
      <c r="F42">
        <f t="shared" ref="F42" ca="1" si="37">IF(INDIRECT(F$1&amp;"!$K"&amp;$A42+12)="",#N/A,SUM(INDIRECT(F$1&amp;"!$K$13:$K"&amp;$A42+12))+F427+F482)</f>
        <v>23</v>
      </c>
    </row>
    <row r="43" spans="1:13" outlineLevel="1" x14ac:dyDescent="0.2">
      <c r="A43">
        <v>32</v>
      </c>
      <c r="B43" t="e">
        <f t="shared" ca="1" si="36"/>
        <v>#N/A</v>
      </c>
      <c r="C43" t="e">
        <f t="shared" ca="1" si="36"/>
        <v>#N/A</v>
      </c>
      <c r="D43" t="e">
        <f t="shared" ca="1" si="36"/>
        <v>#N/A</v>
      </c>
      <c r="E43" t="e">
        <f t="shared" ca="1" si="36"/>
        <v>#N/A</v>
      </c>
      <c r="F43" t="e">
        <f t="shared" ref="F43" ca="1" si="38">IF(INDIRECT(F$1&amp;"!$K"&amp;$A43+12)="",#N/A,SUM(INDIRECT(F$1&amp;"!$K$13:$K"&amp;$A43+12))+F428+F483)</f>
        <v>#N/A</v>
      </c>
    </row>
    <row r="44" spans="1:13" outlineLevel="1" x14ac:dyDescent="0.2">
      <c r="A44">
        <v>33</v>
      </c>
      <c r="B44" t="e">
        <f t="shared" ca="1" si="36"/>
        <v>#N/A</v>
      </c>
      <c r="C44" t="e">
        <f t="shared" ca="1" si="36"/>
        <v>#N/A</v>
      </c>
      <c r="D44" t="e">
        <f t="shared" ca="1" si="36"/>
        <v>#N/A</v>
      </c>
      <c r="E44" t="e">
        <f t="shared" ca="1" si="36"/>
        <v>#N/A</v>
      </c>
      <c r="F44" t="e">
        <f t="shared" ref="F44" ca="1" si="39">IF(INDIRECT(F$1&amp;"!$K"&amp;$A44+12)="",#N/A,SUM(INDIRECT(F$1&amp;"!$K$13:$K"&amp;$A44+12))+F429+F484)</f>
        <v>#N/A</v>
      </c>
    </row>
    <row r="45" spans="1:13" outlineLevel="1" x14ac:dyDescent="0.2">
      <c r="A45">
        <v>34</v>
      </c>
      <c r="B45" t="e">
        <f t="shared" ca="1" si="36"/>
        <v>#N/A</v>
      </c>
      <c r="C45" t="e">
        <f t="shared" ca="1" si="36"/>
        <v>#N/A</v>
      </c>
      <c r="D45" t="e">
        <f t="shared" ca="1" si="36"/>
        <v>#N/A</v>
      </c>
      <c r="E45" t="e">
        <f t="shared" ca="1" si="36"/>
        <v>#N/A</v>
      </c>
      <c r="F45" t="e">
        <f t="shared" ref="F45" ca="1" si="40">IF(INDIRECT(F$1&amp;"!$K"&amp;$A45+12)="",#N/A,SUM(INDIRECT(F$1&amp;"!$K$13:$K"&amp;$A45+12))+F430+F485)</f>
        <v>#N/A</v>
      </c>
    </row>
    <row r="46" spans="1:13" outlineLevel="1" x14ac:dyDescent="0.2">
      <c r="A46">
        <v>35</v>
      </c>
      <c r="B46" t="e">
        <f t="shared" ca="1" si="36"/>
        <v>#N/A</v>
      </c>
      <c r="C46" t="e">
        <f t="shared" ca="1" si="36"/>
        <v>#N/A</v>
      </c>
      <c r="D46" t="e">
        <f t="shared" ca="1" si="36"/>
        <v>#N/A</v>
      </c>
      <c r="E46" t="e">
        <f t="shared" ca="1" si="36"/>
        <v>#N/A</v>
      </c>
      <c r="F46" t="e">
        <f t="shared" ref="F46" ca="1" si="41">IF(INDIRECT(F$1&amp;"!$K"&amp;$A46+12)="",#N/A,SUM(INDIRECT(F$1&amp;"!$K$13:$K"&amp;$A46+12))+F431+F486)</f>
        <v>#N/A</v>
      </c>
    </row>
    <row r="47" spans="1:13" outlineLevel="1" x14ac:dyDescent="0.2">
      <c r="A47">
        <v>36</v>
      </c>
      <c r="B47" t="e">
        <f t="shared" ca="1" si="36"/>
        <v>#N/A</v>
      </c>
      <c r="C47" t="e">
        <f t="shared" ca="1" si="36"/>
        <v>#N/A</v>
      </c>
      <c r="D47" t="e">
        <f t="shared" ca="1" si="36"/>
        <v>#N/A</v>
      </c>
      <c r="E47" t="e">
        <f t="shared" ca="1" si="36"/>
        <v>#N/A</v>
      </c>
      <c r="F47" t="e">
        <f t="shared" ref="F47" ca="1" si="42">IF(INDIRECT(F$1&amp;"!$K"&amp;$A47+12)="",#N/A,SUM(INDIRECT(F$1&amp;"!$K$13:$K"&amp;$A47+12))+F432+F487)</f>
        <v>#N/A</v>
      </c>
    </row>
    <row r="48" spans="1:13" outlineLevel="1" x14ac:dyDescent="0.2">
      <c r="A48">
        <v>37</v>
      </c>
      <c r="B48" t="e">
        <f t="shared" ca="1" si="36"/>
        <v>#N/A</v>
      </c>
      <c r="C48" t="e">
        <f t="shared" ca="1" si="36"/>
        <v>#N/A</v>
      </c>
      <c r="D48" t="e">
        <f t="shared" ca="1" si="36"/>
        <v>#N/A</v>
      </c>
      <c r="E48" t="e">
        <f t="shared" ca="1" si="36"/>
        <v>#N/A</v>
      </c>
      <c r="F48" t="e">
        <f t="shared" ref="F48" ca="1" si="43">IF(INDIRECT(F$1&amp;"!$K"&amp;$A48+12)="",#N/A,SUM(INDIRECT(F$1&amp;"!$K$13:$K"&amp;$A48+12))+F433+F488)</f>
        <v>#N/A</v>
      </c>
      <c r="J48" t="str">
        <f t="shared" ref="J48:J62" ca="1" si="44">IF(INDIRECT(C$121&amp;"!$K$"&amp;$A48+12)="","",COUNTIFS(INDIRECT(C$121&amp;"!$K"&amp;$A48+12&amp;":$K"&amp;$A48+12),3))</f>
        <v/>
      </c>
      <c r="L48" t="str">
        <f t="shared" ref="L48:L62" ca="1" si="45">IF(INDIRECT(B$176&amp;"!$K$"&amp;$A48+12)="","",COUNTIFS(INDIRECT(B$176&amp;"!$K"&amp;$A48+12&amp;":$K"&amp;$A48+12),2))</f>
        <v/>
      </c>
      <c r="M48" t="str">
        <f t="shared" ref="M48:M62" ca="1" si="46">IF(INDIRECT(C$176&amp;"!$K$"&amp;$A48+12)="","",COUNTIFS(INDIRECT(C$176&amp;"!$K"&amp;$A48+12&amp;":$K"&amp;$A48+12),2))</f>
        <v/>
      </c>
    </row>
    <row r="49" spans="1:13" outlineLevel="1" x14ac:dyDescent="0.2">
      <c r="A49">
        <v>38</v>
      </c>
      <c r="B49" t="e">
        <f t="shared" ca="1" si="36"/>
        <v>#N/A</v>
      </c>
      <c r="C49" t="e">
        <f t="shared" ca="1" si="36"/>
        <v>#N/A</v>
      </c>
      <c r="D49" t="e">
        <f t="shared" ca="1" si="36"/>
        <v>#N/A</v>
      </c>
      <c r="E49" t="e">
        <f t="shared" ca="1" si="36"/>
        <v>#N/A</v>
      </c>
      <c r="F49" t="e">
        <f t="shared" ref="F49" ca="1" si="47">IF(INDIRECT(F$1&amp;"!$K"&amp;$A49+12)="",#N/A,SUM(INDIRECT(F$1&amp;"!$K$13:$K"&amp;$A49+12))+F434+F489)</f>
        <v>#N/A</v>
      </c>
      <c r="J49" t="str">
        <f t="shared" ca="1" si="44"/>
        <v/>
      </c>
      <c r="L49" t="str">
        <f t="shared" ca="1" si="45"/>
        <v/>
      </c>
      <c r="M49" t="str">
        <f t="shared" ca="1" si="46"/>
        <v/>
      </c>
    </row>
    <row r="50" spans="1:13" outlineLevel="1" x14ac:dyDescent="0.2">
      <c r="A50">
        <v>39</v>
      </c>
      <c r="B50" t="e">
        <f t="shared" ca="1" si="36"/>
        <v>#N/A</v>
      </c>
      <c r="C50" t="e">
        <f t="shared" ca="1" si="36"/>
        <v>#N/A</v>
      </c>
      <c r="D50" t="e">
        <f t="shared" ca="1" si="36"/>
        <v>#N/A</v>
      </c>
      <c r="E50" t="e">
        <f t="shared" ca="1" si="36"/>
        <v>#N/A</v>
      </c>
      <c r="F50" t="e">
        <f t="shared" ref="F50" ca="1" si="48">IF(INDIRECT(F$1&amp;"!$K"&amp;$A50+12)="",#N/A,SUM(INDIRECT(F$1&amp;"!$K$13:$K"&amp;$A50+12))+F435+F490)</f>
        <v>#N/A</v>
      </c>
      <c r="J50" t="str">
        <f t="shared" ca="1" si="44"/>
        <v/>
      </c>
      <c r="L50" t="str">
        <f t="shared" ca="1" si="45"/>
        <v/>
      </c>
      <c r="M50" t="str">
        <f t="shared" ca="1" si="46"/>
        <v/>
      </c>
    </row>
    <row r="51" spans="1:13" outlineLevel="1" x14ac:dyDescent="0.2">
      <c r="A51">
        <v>40</v>
      </c>
      <c r="B51" t="e">
        <f t="shared" ca="1" si="36"/>
        <v>#N/A</v>
      </c>
      <c r="C51" t="e">
        <f t="shared" ca="1" si="36"/>
        <v>#N/A</v>
      </c>
      <c r="D51" t="e">
        <f t="shared" ca="1" si="36"/>
        <v>#N/A</v>
      </c>
      <c r="E51" t="e">
        <f t="shared" ca="1" si="36"/>
        <v>#N/A</v>
      </c>
      <c r="F51" t="e">
        <f t="shared" ref="F51" ca="1" si="49">IF(INDIRECT(F$1&amp;"!$K"&amp;$A51+12)="",#N/A,SUM(INDIRECT(F$1&amp;"!$K$13:$K"&amp;$A51+12))+F436+F491)</f>
        <v>#N/A</v>
      </c>
      <c r="J51" t="str">
        <f t="shared" ca="1" si="44"/>
        <v/>
      </c>
      <c r="L51" t="str">
        <f t="shared" ca="1" si="45"/>
        <v/>
      </c>
      <c r="M51" t="str">
        <f t="shared" ca="1" si="46"/>
        <v/>
      </c>
    </row>
    <row r="52" spans="1:13" outlineLevel="1" x14ac:dyDescent="0.2">
      <c r="A52">
        <v>41</v>
      </c>
      <c r="B52" t="e">
        <f t="shared" ref="B52:E61" ca="1" si="50">IF(INDIRECT(B$1&amp;"!$K"&amp;$A52+12)="",#N/A,SUM(INDIRECT(B$1&amp;"!$K$13:$K"&amp;$A52+12))+B437+B492)</f>
        <v>#N/A</v>
      </c>
      <c r="C52" t="e">
        <f t="shared" ca="1" si="50"/>
        <v>#N/A</v>
      </c>
      <c r="D52" t="e">
        <f t="shared" ca="1" si="50"/>
        <v>#N/A</v>
      </c>
      <c r="E52" t="e">
        <f t="shared" ca="1" si="50"/>
        <v>#N/A</v>
      </c>
      <c r="F52" t="e">
        <f t="shared" ref="F52" ca="1" si="51">IF(INDIRECT(F$1&amp;"!$K"&amp;$A52+12)="",#N/A,SUM(INDIRECT(F$1&amp;"!$K$13:$K"&amp;$A52+12))+F437+F492)</f>
        <v>#N/A</v>
      </c>
      <c r="J52" t="str">
        <f t="shared" ca="1" si="44"/>
        <v/>
      </c>
      <c r="L52" t="str">
        <f t="shared" ca="1" si="45"/>
        <v/>
      </c>
      <c r="M52" t="str">
        <f t="shared" ca="1" si="46"/>
        <v/>
      </c>
    </row>
    <row r="53" spans="1:13" outlineLevel="1" x14ac:dyDescent="0.2">
      <c r="A53">
        <v>42</v>
      </c>
      <c r="B53" t="e">
        <f t="shared" ca="1" si="50"/>
        <v>#N/A</v>
      </c>
      <c r="C53" t="e">
        <f t="shared" ca="1" si="50"/>
        <v>#N/A</v>
      </c>
      <c r="D53" t="e">
        <f t="shared" ca="1" si="50"/>
        <v>#N/A</v>
      </c>
      <c r="E53" t="e">
        <f t="shared" ca="1" si="50"/>
        <v>#N/A</v>
      </c>
      <c r="F53" t="e">
        <f t="shared" ref="F53" ca="1" si="52">IF(INDIRECT(F$1&amp;"!$K"&amp;$A53+12)="",#N/A,SUM(INDIRECT(F$1&amp;"!$K$13:$K"&amp;$A53+12))+F438+F493)</f>
        <v>#N/A</v>
      </c>
      <c r="J53" t="str">
        <f t="shared" ca="1" si="44"/>
        <v/>
      </c>
      <c r="L53" t="str">
        <f t="shared" ca="1" si="45"/>
        <v/>
      </c>
      <c r="M53" t="str">
        <f t="shared" ca="1" si="46"/>
        <v/>
      </c>
    </row>
    <row r="54" spans="1:13" outlineLevel="1" x14ac:dyDescent="0.2">
      <c r="A54">
        <v>43</v>
      </c>
      <c r="B54" t="e">
        <f t="shared" ca="1" si="50"/>
        <v>#N/A</v>
      </c>
      <c r="C54" t="e">
        <f t="shared" ca="1" si="50"/>
        <v>#N/A</v>
      </c>
      <c r="D54" t="e">
        <f t="shared" ca="1" si="50"/>
        <v>#N/A</v>
      </c>
      <c r="E54" t="e">
        <f t="shared" ca="1" si="50"/>
        <v>#N/A</v>
      </c>
      <c r="F54" t="e">
        <f t="shared" ref="F54" ca="1" si="53">IF(INDIRECT(F$1&amp;"!$K"&amp;$A54+12)="",#N/A,SUM(INDIRECT(F$1&amp;"!$K$13:$K"&amp;$A54+12))+F439+F494)</f>
        <v>#N/A</v>
      </c>
      <c r="J54" t="str">
        <f t="shared" ca="1" si="44"/>
        <v/>
      </c>
      <c r="L54" t="str">
        <f t="shared" ca="1" si="45"/>
        <v/>
      </c>
      <c r="M54" t="str">
        <f t="shared" ca="1" si="46"/>
        <v/>
      </c>
    </row>
    <row r="55" spans="1:13" outlineLevel="1" x14ac:dyDescent="0.2">
      <c r="A55">
        <v>44</v>
      </c>
      <c r="B55" t="e">
        <f t="shared" ca="1" si="50"/>
        <v>#N/A</v>
      </c>
      <c r="C55" t="e">
        <f t="shared" ca="1" si="50"/>
        <v>#N/A</v>
      </c>
      <c r="D55" t="e">
        <f t="shared" ca="1" si="50"/>
        <v>#N/A</v>
      </c>
      <c r="E55" t="e">
        <f t="shared" ca="1" si="50"/>
        <v>#N/A</v>
      </c>
      <c r="F55" t="e">
        <f t="shared" ref="F55" ca="1" si="54">IF(INDIRECT(F$1&amp;"!$K"&amp;$A55+12)="",#N/A,SUM(INDIRECT(F$1&amp;"!$K$13:$K"&amp;$A55+12))+F440+F495)</f>
        <v>#N/A</v>
      </c>
      <c r="J55" t="str">
        <f t="shared" ca="1" si="44"/>
        <v/>
      </c>
      <c r="L55" t="str">
        <f t="shared" ca="1" si="45"/>
        <v/>
      </c>
      <c r="M55" t="str">
        <f t="shared" ca="1" si="46"/>
        <v/>
      </c>
    </row>
    <row r="56" spans="1:13" outlineLevel="1" x14ac:dyDescent="0.2">
      <c r="A56">
        <v>45</v>
      </c>
      <c r="B56" t="e">
        <f t="shared" ca="1" si="50"/>
        <v>#N/A</v>
      </c>
      <c r="C56" t="e">
        <f t="shared" ca="1" si="50"/>
        <v>#N/A</v>
      </c>
      <c r="D56" t="e">
        <f t="shared" ca="1" si="50"/>
        <v>#N/A</v>
      </c>
      <c r="E56" t="e">
        <f t="shared" ca="1" si="50"/>
        <v>#N/A</v>
      </c>
      <c r="F56" t="e">
        <f t="shared" ref="F56" ca="1" si="55">IF(INDIRECT(F$1&amp;"!$K"&amp;$A56+12)="",#N/A,SUM(INDIRECT(F$1&amp;"!$K$13:$K"&amp;$A56+12))+F441+F496)</f>
        <v>#N/A</v>
      </c>
      <c r="J56" t="str">
        <f t="shared" ca="1" si="44"/>
        <v/>
      </c>
      <c r="L56" t="str">
        <f t="shared" ca="1" si="45"/>
        <v/>
      </c>
      <c r="M56" t="str">
        <f t="shared" ca="1" si="46"/>
        <v/>
      </c>
    </row>
    <row r="57" spans="1:13" outlineLevel="1" x14ac:dyDescent="0.2">
      <c r="A57">
        <v>46</v>
      </c>
      <c r="B57" t="e">
        <f t="shared" ca="1" si="50"/>
        <v>#N/A</v>
      </c>
      <c r="C57" t="e">
        <f t="shared" ca="1" si="50"/>
        <v>#N/A</v>
      </c>
      <c r="D57" t="e">
        <f t="shared" ca="1" si="50"/>
        <v>#N/A</v>
      </c>
      <c r="E57" t="e">
        <f t="shared" ca="1" si="50"/>
        <v>#N/A</v>
      </c>
      <c r="F57" t="e">
        <f t="shared" ref="F57" ca="1" si="56">IF(INDIRECT(F$1&amp;"!$K"&amp;$A57+12)="",#N/A,SUM(INDIRECT(F$1&amp;"!$K$13:$K"&amp;$A57+12))+F442+F497)</f>
        <v>#N/A</v>
      </c>
      <c r="J57" t="str">
        <f t="shared" ca="1" si="44"/>
        <v/>
      </c>
      <c r="L57" t="str">
        <f t="shared" ca="1" si="45"/>
        <v/>
      </c>
      <c r="M57" t="str">
        <f t="shared" ca="1" si="46"/>
        <v/>
      </c>
    </row>
    <row r="58" spans="1:13" outlineLevel="1" x14ac:dyDescent="0.2">
      <c r="A58">
        <v>47</v>
      </c>
      <c r="B58" t="e">
        <f t="shared" ca="1" si="50"/>
        <v>#N/A</v>
      </c>
      <c r="C58" t="e">
        <f t="shared" ca="1" si="50"/>
        <v>#N/A</v>
      </c>
      <c r="D58" t="e">
        <f t="shared" ca="1" si="50"/>
        <v>#N/A</v>
      </c>
      <c r="E58" t="e">
        <f t="shared" ca="1" si="50"/>
        <v>#N/A</v>
      </c>
      <c r="F58" t="e">
        <f t="shared" ref="F58" ca="1" si="57">IF(INDIRECT(F$1&amp;"!$K"&amp;$A58+12)="",#N/A,SUM(INDIRECT(F$1&amp;"!$K$13:$K"&amp;$A58+12))+F443+F498)</f>
        <v>#N/A</v>
      </c>
      <c r="J58" t="str">
        <f t="shared" ca="1" si="44"/>
        <v/>
      </c>
      <c r="L58" t="str">
        <f t="shared" ca="1" si="45"/>
        <v/>
      </c>
      <c r="M58" t="str">
        <f t="shared" ca="1" si="46"/>
        <v/>
      </c>
    </row>
    <row r="59" spans="1:13" outlineLevel="1" x14ac:dyDescent="0.2">
      <c r="A59">
        <v>48</v>
      </c>
      <c r="B59" t="e">
        <f t="shared" ca="1" si="50"/>
        <v>#N/A</v>
      </c>
      <c r="C59" t="e">
        <f t="shared" ca="1" si="50"/>
        <v>#N/A</v>
      </c>
      <c r="D59" t="e">
        <f t="shared" ca="1" si="50"/>
        <v>#N/A</v>
      </c>
      <c r="E59" t="e">
        <f t="shared" ca="1" si="50"/>
        <v>#N/A</v>
      </c>
      <c r="F59" t="e">
        <f t="shared" ref="F59" ca="1" si="58">IF(INDIRECT(F$1&amp;"!$K"&amp;$A59+12)="",#N/A,SUM(INDIRECT(F$1&amp;"!$K$13:$K"&amp;$A59+12))+F444+F499)</f>
        <v>#N/A</v>
      </c>
      <c r="J59" t="str">
        <f t="shared" ca="1" si="44"/>
        <v/>
      </c>
      <c r="L59" t="str">
        <f t="shared" ca="1" si="45"/>
        <v/>
      </c>
      <c r="M59" t="str">
        <f t="shared" ca="1" si="46"/>
        <v/>
      </c>
    </row>
    <row r="60" spans="1:13" outlineLevel="1" x14ac:dyDescent="0.2">
      <c r="A60">
        <v>49</v>
      </c>
      <c r="B60" t="e">
        <f t="shared" ca="1" si="50"/>
        <v>#N/A</v>
      </c>
      <c r="C60" t="e">
        <f t="shared" ca="1" si="50"/>
        <v>#N/A</v>
      </c>
      <c r="D60" t="e">
        <f t="shared" ca="1" si="50"/>
        <v>#N/A</v>
      </c>
      <c r="E60" t="e">
        <f t="shared" ca="1" si="50"/>
        <v>#N/A</v>
      </c>
      <c r="F60" t="e">
        <f t="shared" ref="F60" ca="1" si="59">IF(INDIRECT(F$1&amp;"!$K"&amp;$A60+12)="",#N/A,SUM(INDIRECT(F$1&amp;"!$K$13:$K"&amp;$A60+12))+F445+F500)</f>
        <v>#N/A</v>
      </c>
      <c r="J60" t="str">
        <f t="shared" ca="1" si="44"/>
        <v/>
      </c>
      <c r="L60" t="str">
        <f t="shared" ca="1" si="45"/>
        <v/>
      </c>
      <c r="M60" t="str">
        <f t="shared" ca="1" si="46"/>
        <v/>
      </c>
    </row>
    <row r="61" spans="1:13" outlineLevel="1" x14ac:dyDescent="0.2">
      <c r="A61">
        <v>50</v>
      </c>
      <c r="B61" t="e">
        <f t="shared" ca="1" si="50"/>
        <v>#N/A</v>
      </c>
      <c r="C61" t="e">
        <f t="shared" ca="1" si="50"/>
        <v>#N/A</v>
      </c>
      <c r="D61" t="e">
        <f t="shared" ca="1" si="50"/>
        <v>#N/A</v>
      </c>
      <c r="E61" t="e">
        <f t="shared" ca="1" si="50"/>
        <v>#N/A</v>
      </c>
      <c r="F61" t="e">
        <f t="shared" ref="F61" ca="1" si="60">IF(INDIRECT(F$1&amp;"!$K"&amp;$A61+12)="",#N/A,SUM(INDIRECT(F$1&amp;"!$K$13:$K"&amp;$A61+12))+F446+F501)</f>
        <v>#N/A</v>
      </c>
      <c r="J61" t="str">
        <f t="shared" ca="1" si="44"/>
        <v/>
      </c>
      <c r="L61" t="str">
        <f t="shared" ca="1" si="45"/>
        <v/>
      </c>
      <c r="M61" t="str">
        <f t="shared" ca="1" si="46"/>
        <v/>
      </c>
    </row>
    <row r="62" spans="1:13" outlineLevel="1" x14ac:dyDescent="0.2">
      <c r="A62">
        <v>51</v>
      </c>
      <c r="B62" t="e">
        <f t="shared" ref="B62:E62" ca="1" si="61">IF(INDIRECT(B$1&amp;"!$K"&amp;$A62+12)="",#N/A,SUM(INDIRECT(B$1&amp;"!$K$13:$K"&amp;$A62+12))+B447+B502)</f>
        <v>#N/A</v>
      </c>
      <c r="C62" t="e">
        <f t="shared" ca="1" si="61"/>
        <v>#N/A</v>
      </c>
      <c r="D62" t="e">
        <f t="shared" ca="1" si="61"/>
        <v>#N/A</v>
      </c>
      <c r="E62" t="e">
        <f t="shared" ca="1" si="61"/>
        <v>#N/A</v>
      </c>
      <c r="F62" t="e">
        <f t="shared" ref="F62" ca="1" si="62">IF(INDIRECT(F$1&amp;"!$K"&amp;$A62+12)="",#N/A,SUM(INDIRECT(F$1&amp;"!$K$13:$K"&amp;$A62+12))+F447+F502)</f>
        <v>#N/A</v>
      </c>
      <c r="J62" t="str">
        <f t="shared" ca="1" si="44"/>
        <v/>
      </c>
      <c r="L62" t="str">
        <f t="shared" ca="1" si="45"/>
        <v/>
      </c>
      <c r="M62" t="str">
        <f t="shared" ca="1" si="46"/>
        <v/>
      </c>
    </row>
    <row r="65" spans="1:9" x14ac:dyDescent="0.2">
      <c r="B65" t="s">
        <v>78</v>
      </c>
    </row>
    <row r="66" spans="1:9" outlineLevel="1" x14ac:dyDescent="0.2">
      <c r="A66" t="s">
        <v>102</v>
      </c>
      <c r="B66" s="73" t="str">
        <f>B$1</f>
        <v>Jocke</v>
      </c>
      <c r="C66" s="73" t="str">
        <f t="shared" ref="C66:F66" si="63">C$1</f>
        <v>Markus</v>
      </c>
      <c r="D66" s="73" t="str">
        <f t="shared" si="63"/>
        <v>Rickard</v>
      </c>
      <c r="E66" s="73" t="str">
        <f t="shared" si="63"/>
        <v>Tomas</v>
      </c>
      <c r="F66" s="73" t="str">
        <f t="shared" si="63"/>
        <v>Kalle</v>
      </c>
      <c r="G66" s="73"/>
      <c r="H66" s="73"/>
      <c r="I66" s="73"/>
    </row>
    <row r="67" spans="1:9" outlineLevel="1" x14ac:dyDescent="0.2">
      <c r="A67">
        <v>1</v>
      </c>
      <c r="B67">
        <f t="shared" ref="B67:E76" ca="1" si="64">IF(INDIRECT(B$1&amp;"!$K"&amp;$A67+12)="",#N/A,B232+B287+B342)</f>
        <v>1</v>
      </c>
      <c r="C67">
        <f t="shared" ca="1" si="64"/>
        <v>4</v>
      </c>
      <c r="D67">
        <f t="shared" ca="1" si="64"/>
        <v>4</v>
      </c>
      <c r="E67">
        <f t="shared" ca="1" si="64"/>
        <v>1</v>
      </c>
      <c r="F67">
        <f t="shared" ref="F67" ca="1" si="65">IF(INDIRECT(F$1&amp;"!$K"&amp;$A67+12)="",#N/A,F232+F287+F342)</f>
        <v>1</v>
      </c>
    </row>
    <row r="68" spans="1:9" outlineLevel="1" x14ac:dyDescent="0.2">
      <c r="A68">
        <v>2</v>
      </c>
      <c r="B68">
        <f t="shared" ca="1" si="64"/>
        <v>1</v>
      </c>
      <c r="C68">
        <f t="shared" ca="1" si="64"/>
        <v>5</v>
      </c>
      <c r="D68">
        <f t="shared" ca="1" si="64"/>
        <v>4</v>
      </c>
      <c r="E68">
        <f t="shared" ca="1" si="64"/>
        <v>2</v>
      </c>
      <c r="F68">
        <f t="shared" ref="F68" ca="1" si="66">IF(INDIRECT(F$1&amp;"!$K"&amp;$A68+12)="",#N/A,F233+F288+F343)</f>
        <v>2</v>
      </c>
    </row>
    <row r="69" spans="1:9" outlineLevel="1" x14ac:dyDescent="0.2">
      <c r="A69">
        <v>3</v>
      </c>
      <c r="B69">
        <f t="shared" ca="1" si="64"/>
        <v>1</v>
      </c>
      <c r="C69">
        <f t="shared" ca="1" si="64"/>
        <v>5</v>
      </c>
      <c r="D69">
        <f t="shared" ca="1" si="64"/>
        <v>4</v>
      </c>
      <c r="E69">
        <f t="shared" ca="1" si="64"/>
        <v>2</v>
      </c>
      <c r="F69">
        <f t="shared" ref="F69" ca="1" si="67">IF(INDIRECT(F$1&amp;"!$K"&amp;$A69+12)="",#N/A,F234+F289+F344)</f>
        <v>3</v>
      </c>
    </row>
    <row r="70" spans="1:9" outlineLevel="1" x14ac:dyDescent="0.2">
      <c r="A70">
        <v>4</v>
      </c>
      <c r="B70">
        <f t="shared" ca="1" si="64"/>
        <v>2</v>
      </c>
      <c r="C70">
        <f t="shared" ca="1" si="64"/>
        <v>3</v>
      </c>
      <c r="D70">
        <f t="shared" ca="1" si="64"/>
        <v>1</v>
      </c>
      <c r="E70">
        <f t="shared" ca="1" si="64"/>
        <v>4</v>
      </c>
      <c r="F70">
        <f t="shared" ref="F70" ca="1" si="68">IF(INDIRECT(F$1&amp;"!$K"&amp;$A70+12)="",#N/A,F235+F290+F345)</f>
        <v>5</v>
      </c>
    </row>
    <row r="71" spans="1:9" outlineLevel="1" x14ac:dyDescent="0.2">
      <c r="A71">
        <v>5</v>
      </c>
      <c r="B71">
        <f t="shared" ca="1" si="64"/>
        <v>2</v>
      </c>
      <c r="C71">
        <f t="shared" ca="1" si="64"/>
        <v>3</v>
      </c>
      <c r="D71">
        <f t="shared" ca="1" si="64"/>
        <v>1</v>
      </c>
      <c r="E71">
        <f t="shared" ca="1" si="64"/>
        <v>4</v>
      </c>
      <c r="F71">
        <f t="shared" ref="F71" ca="1" si="69">IF(INDIRECT(F$1&amp;"!$K"&amp;$A71+12)="",#N/A,F236+F291+F346)</f>
        <v>5</v>
      </c>
    </row>
    <row r="72" spans="1:9" outlineLevel="1" x14ac:dyDescent="0.2">
      <c r="A72">
        <v>6</v>
      </c>
      <c r="B72">
        <f t="shared" ca="1" si="64"/>
        <v>3</v>
      </c>
      <c r="C72">
        <f t="shared" ca="1" si="64"/>
        <v>2</v>
      </c>
      <c r="D72">
        <f t="shared" ca="1" si="64"/>
        <v>1</v>
      </c>
      <c r="E72">
        <f t="shared" ca="1" si="64"/>
        <v>4</v>
      </c>
      <c r="F72">
        <f t="shared" ref="F72" ca="1" si="70">IF(INDIRECT(F$1&amp;"!$K"&amp;$A72+12)="",#N/A,F237+F292+F347)</f>
        <v>5</v>
      </c>
    </row>
    <row r="73" spans="1:9" outlineLevel="1" x14ac:dyDescent="0.2">
      <c r="A73">
        <v>7</v>
      </c>
      <c r="B73">
        <f t="shared" ca="1" si="64"/>
        <v>3</v>
      </c>
      <c r="C73">
        <f t="shared" ca="1" si="64"/>
        <v>2</v>
      </c>
      <c r="D73">
        <f t="shared" ca="1" si="64"/>
        <v>1</v>
      </c>
      <c r="E73">
        <f t="shared" ca="1" si="64"/>
        <v>4</v>
      </c>
      <c r="F73">
        <f t="shared" ref="F73" ca="1" si="71">IF(INDIRECT(F$1&amp;"!$K"&amp;$A73+12)="",#N/A,F238+F293+F348)</f>
        <v>5</v>
      </c>
    </row>
    <row r="74" spans="1:9" outlineLevel="1" x14ac:dyDescent="0.2">
      <c r="A74">
        <v>8</v>
      </c>
      <c r="B74">
        <f t="shared" ca="1" si="64"/>
        <v>3</v>
      </c>
      <c r="C74">
        <f t="shared" ca="1" si="64"/>
        <v>1</v>
      </c>
      <c r="D74">
        <f t="shared" ca="1" si="64"/>
        <v>1</v>
      </c>
      <c r="E74">
        <f t="shared" ca="1" si="64"/>
        <v>4</v>
      </c>
      <c r="F74">
        <f t="shared" ref="F74" ca="1" si="72">IF(INDIRECT(F$1&amp;"!$K"&amp;$A74+12)="",#N/A,F239+F294+F349)</f>
        <v>5</v>
      </c>
    </row>
    <row r="75" spans="1:9" outlineLevel="1" x14ac:dyDescent="0.2">
      <c r="A75">
        <v>9</v>
      </c>
      <c r="B75">
        <f t="shared" ca="1" si="64"/>
        <v>3</v>
      </c>
      <c r="C75">
        <f t="shared" ca="1" si="64"/>
        <v>1</v>
      </c>
      <c r="D75">
        <f t="shared" ca="1" si="64"/>
        <v>1</v>
      </c>
      <c r="E75">
        <f t="shared" ca="1" si="64"/>
        <v>3</v>
      </c>
      <c r="F75">
        <f t="shared" ref="F75" ca="1" si="73">IF(INDIRECT(F$1&amp;"!$K"&amp;$A75+12)="",#N/A,F240+F295+F350)</f>
        <v>5</v>
      </c>
    </row>
    <row r="76" spans="1:9" outlineLevel="1" x14ac:dyDescent="0.2">
      <c r="A76">
        <v>10</v>
      </c>
      <c r="B76">
        <f t="shared" ca="1" si="64"/>
        <v>3</v>
      </c>
      <c r="C76">
        <f t="shared" ca="1" si="64"/>
        <v>1</v>
      </c>
      <c r="D76">
        <f t="shared" ca="1" si="64"/>
        <v>1</v>
      </c>
      <c r="E76">
        <f t="shared" ca="1" si="64"/>
        <v>3</v>
      </c>
      <c r="F76">
        <f t="shared" ref="F76" ca="1" si="74">IF(INDIRECT(F$1&amp;"!$K"&amp;$A76+12)="",#N/A,F241+F296+F351)</f>
        <v>5</v>
      </c>
    </row>
    <row r="77" spans="1:9" outlineLevel="1" x14ac:dyDescent="0.2">
      <c r="A77">
        <v>11</v>
      </c>
      <c r="B77">
        <f t="shared" ref="B77:E86" ca="1" si="75">IF(INDIRECT(B$1&amp;"!$K"&amp;$A77+12)="",#N/A,B242+B297+B352)</f>
        <v>3</v>
      </c>
      <c r="C77">
        <f t="shared" ca="1" si="75"/>
        <v>1</v>
      </c>
      <c r="D77">
        <f t="shared" ca="1" si="75"/>
        <v>1</v>
      </c>
      <c r="E77">
        <f t="shared" ca="1" si="75"/>
        <v>3</v>
      </c>
      <c r="F77">
        <f t="shared" ref="F77" ca="1" si="76">IF(INDIRECT(F$1&amp;"!$K"&amp;$A77+12)="",#N/A,F242+F297+F352)</f>
        <v>5</v>
      </c>
    </row>
    <row r="78" spans="1:9" outlineLevel="1" x14ac:dyDescent="0.2">
      <c r="A78">
        <v>12</v>
      </c>
      <c r="B78">
        <f t="shared" ca="1" si="75"/>
        <v>3</v>
      </c>
      <c r="C78">
        <f t="shared" ca="1" si="75"/>
        <v>1</v>
      </c>
      <c r="D78">
        <f t="shared" ca="1" si="75"/>
        <v>1</v>
      </c>
      <c r="E78">
        <f t="shared" ca="1" si="75"/>
        <v>3</v>
      </c>
      <c r="F78">
        <f t="shared" ref="F78" ca="1" si="77">IF(INDIRECT(F$1&amp;"!$K"&amp;$A78+12)="",#N/A,F243+F298+F353)</f>
        <v>5</v>
      </c>
    </row>
    <row r="79" spans="1:9" outlineLevel="1" x14ac:dyDescent="0.2">
      <c r="A79">
        <v>13</v>
      </c>
      <c r="B79">
        <f t="shared" ca="1" si="75"/>
        <v>3</v>
      </c>
      <c r="C79">
        <f t="shared" ca="1" si="75"/>
        <v>1</v>
      </c>
      <c r="D79">
        <f t="shared" ca="1" si="75"/>
        <v>2</v>
      </c>
      <c r="E79">
        <f t="shared" ca="1" si="75"/>
        <v>3</v>
      </c>
      <c r="F79">
        <f t="shared" ref="F79" ca="1" si="78">IF(INDIRECT(F$1&amp;"!$K"&amp;$A79+12)="",#N/A,F244+F299+F354)</f>
        <v>5</v>
      </c>
    </row>
    <row r="80" spans="1:9" outlineLevel="1" x14ac:dyDescent="0.2">
      <c r="A80">
        <v>14</v>
      </c>
      <c r="B80">
        <f t="shared" ca="1" si="75"/>
        <v>3</v>
      </c>
      <c r="C80">
        <f t="shared" ca="1" si="75"/>
        <v>1</v>
      </c>
      <c r="D80">
        <f t="shared" ca="1" si="75"/>
        <v>2</v>
      </c>
      <c r="E80">
        <f t="shared" ca="1" si="75"/>
        <v>3</v>
      </c>
      <c r="F80">
        <f t="shared" ref="F80" ca="1" si="79">IF(INDIRECT(F$1&amp;"!$K"&amp;$A80+12)="",#N/A,F245+F300+F355)</f>
        <v>5</v>
      </c>
    </row>
    <row r="81" spans="1:6" outlineLevel="1" x14ac:dyDescent="0.2">
      <c r="A81">
        <v>15</v>
      </c>
      <c r="B81">
        <f t="shared" ca="1" si="75"/>
        <v>3</v>
      </c>
      <c r="C81">
        <f t="shared" ca="1" si="75"/>
        <v>1</v>
      </c>
      <c r="D81">
        <f t="shared" ca="1" si="75"/>
        <v>2</v>
      </c>
      <c r="E81">
        <f t="shared" ca="1" si="75"/>
        <v>3</v>
      </c>
      <c r="F81">
        <f t="shared" ref="F81" ca="1" si="80">IF(INDIRECT(F$1&amp;"!$K"&amp;$A81+12)="",#N/A,F246+F301+F356)</f>
        <v>5</v>
      </c>
    </row>
    <row r="82" spans="1:6" outlineLevel="1" x14ac:dyDescent="0.2">
      <c r="A82">
        <v>16</v>
      </c>
      <c r="B82">
        <f t="shared" ca="1" si="75"/>
        <v>3</v>
      </c>
      <c r="C82">
        <f t="shared" ca="1" si="75"/>
        <v>1</v>
      </c>
      <c r="D82">
        <f t="shared" ca="1" si="75"/>
        <v>2</v>
      </c>
      <c r="E82">
        <f t="shared" ca="1" si="75"/>
        <v>3</v>
      </c>
      <c r="F82">
        <f t="shared" ref="F82" ca="1" si="81">IF(INDIRECT(F$1&amp;"!$K"&amp;$A82+12)="",#N/A,F247+F302+F357)</f>
        <v>5</v>
      </c>
    </row>
    <row r="83" spans="1:6" outlineLevel="1" x14ac:dyDescent="0.2">
      <c r="A83">
        <v>17</v>
      </c>
      <c r="B83">
        <f t="shared" ca="1" si="75"/>
        <v>3</v>
      </c>
      <c r="C83">
        <f t="shared" ca="1" si="75"/>
        <v>1</v>
      </c>
      <c r="D83">
        <f t="shared" ca="1" si="75"/>
        <v>2</v>
      </c>
      <c r="E83">
        <f t="shared" ca="1" si="75"/>
        <v>4</v>
      </c>
      <c r="F83">
        <f t="shared" ref="F83" ca="1" si="82">IF(INDIRECT(F$1&amp;"!$K"&amp;$A83+12)="",#N/A,F248+F303+F358)</f>
        <v>5</v>
      </c>
    </row>
    <row r="84" spans="1:6" outlineLevel="1" x14ac:dyDescent="0.2">
      <c r="A84">
        <v>18</v>
      </c>
      <c r="B84">
        <f t="shared" ca="1" si="75"/>
        <v>3</v>
      </c>
      <c r="C84">
        <f t="shared" ca="1" si="75"/>
        <v>1</v>
      </c>
      <c r="D84">
        <f t="shared" ca="1" si="75"/>
        <v>2</v>
      </c>
      <c r="E84">
        <f t="shared" ca="1" si="75"/>
        <v>4</v>
      </c>
      <c r="F84">
        <f t="shared" ref="F84" ca="1" si="83">IF(INDIRECT(F$1&amp;"!$K"&amp;$A84+12)="",#N/A,F249+F304+F359)</f>
        <v>5</v>
      </c>
    </row>
    <row r="85" spans="1:6" outlineLevel="1" x14ac:dyDescent="0.2">
      <c r="A85">
        <v>19</v>
      </c>
      <c r="B85">
        <f t="shared" ca="1" si="75"/>
        <v>3</v>
      </c>
      <c r="C85">
        <f t="shared" ca="1" si="75"/>
        <v>1</v>
      </c>
      <c r="D85">
        <f t="shared" ca="1" si="75"/>
        <v>2</v>
      </c>
      <c r="E85">
        <f t="shared" ca="1" si="75"/>
        <v>4</v>
      </c>
      <c r="F85">
        <f t="shared" ref="F85" ca="1" si="84">IF(INDIRECT(F$1&amp;"!$K"&amp;$A85+12)="",#N/A,F250+F305+F360)</f>
        <v>5</v>
      </c>
    </row>
    <row r="86" spans="1:6" outlineLevel="1" x14ac:dyDescent="0.2">
      <c r="A86">
        <v>20</v>
      </c>
      <c r="B86">
        <f t="shared" ca="1" si="75"/>
        <v>3</v>
      </c>
      <c r="C86">
        <f t="shared" ca="1" si="75"/>
        <v>1</v>
      </c>
      <c r="D86">
        <f t="shared" ca="1" si="75"/>
        <v>2</v>
      </c>
      <c r="E86">
        <f t="shared" ca="1" si="75"/>
        <v>4</v>
      </c>
      <c r="F86">
        <f t="shared" ref="F86" ca="1" si="85">IF(INDIRECT(F$1&amp;"!$K"&amp;$A86+12)="",#N/A,F251+F306+F361)</f>
        <v>5</v>
      </c>
    </row>
    <row r="87" spans="1:6" outlineLevel="1" x14ac:dyDescent="0.2">
      <c r="A87">
        <v>21</v>
      </c>
      <c r="B87">
        <f t="shared" ref="B87:E96" ca="1" si="86">IF(INDIRECT(B$1&amp;"!$K"&amp;$A87+12)="",#N/A,B252+B307+B362)</f>
        <v>3</v>
      </c>
      <c r="C87">
        <f t="shared" ca="1" si="86"/>
        <v>1</v>
      </c>
      <c r="D87">
        <f t="shared" ca="1" si="86"/>
        <v>2</v>
      </c>
      <c r="E87">
        <f t="shared" ca="1" si="86"/>
        <v>4</v>
      </c>
      <c r="F87">
        <f t="shared" ref="F87" ca="1" si="87">IF(INDIRECT(F$1&amp;"!$K"&amp;$A87+12)="",#N/A,F252+F307+F362)</f>
        <v>5</v>
      </c>
    </row>
    <row r="88" spans="1:6" outlineLevel="1" x14ac:dyDescent="0.2">
      <c r="A88">
        <v>22</v>
      </c>
      <c r="B88">
        <f t="shared" ca="1" si="86"/>
        <v>3</v>
      </c>
      <c r="C88">
        <f t="shared" ca="1" si="86"/>
        <v>1</v>
      </c>
      <c r="D88">
        <f t="shared" ca="1" si="86"/>
        <v>2</v>
      </c>
      <c r="E88">
        <f t="shared" ca="1" si="86"/>
        <v>4</v>
      </c>
      <c r="F88">
        <f t="shared" ref="F88" ca="1" si="88">IF(INDIRECT(F$1&amp;"!$K"&amp;$A88+12)="",#N/A,F253+F308+F363)</f>
        <v>5</v>
      </c>
    </row>
    <row r="89" spans="1:6" outlineLevel="1" x14ac:dyDescent="0.2">
      <c r="A89">
        <v>23</v>
      </c>
      <c r="B89">
        <f t="shared" ca="1" si="86"/>
        <v>3</v>
      </c>
      <c r="C89">
        <f t="shared" ca="1" si="86"/>
        <v>1</v>
      </c>
      <c r="D89">
        <f t="shared" ca="1" si="86"/>
        <v>2</v>
      </c>
      <c r="E89">
        <f t="shared" ca="1" si="86"/>
        <v>4</v>
      </c>
      <c r="F89">
        <f t="shared" ref="F89" ca="1" si="89">IF(INDIRECT(F$1&amp;"!$K"&amp;$A89+12)="",#N/A,F254+F309+F364)</f>
        <v>5</v>
      </c>
    </row>
    <row r="90" spans="1:6" outlineLevel="1" x14ac:dyDescent="0.2">
      <c r="A90">
        <v>24</v>
      </c>
      <c r="B90">
        <f t="shared" ca="1" si="86"/>
        <v>3</v>
      </c>
      <c r="C90">
        <f t="shared" ca="1" si="86"/>
        <v>1</v>
      </c>
      <c r="D90">
        <f t="shared" ca="1" si="86"/>
        <v>2</v>
      </c>
      <c r="E90">
        <f t="shared" ca="1" si="86"/>
        <v>4</v>
      </c>
      <c r="F90">
        <f t="shared" ref="F90" ca="1" si="90">IF(INDIRECT(F$1&amp;"!$K"&amp;$A90+12)="",#N/A,F255+F310+F365)</f>
        <v>5</v>
      </c>
    </row>
    <row r="91" spans="1:6" outlineLevel="1" x14ac:dyDescent="0.2">
      <c r="A91">
        <v>25</v>
      </c>
      <c r="B91">
        <f t="shared" ca="1" si="86"/>
        <v>3</v>
      </c>
      <c r="C91">
        <f t="shared" ca="1" si="86"/>
        <v>1</v>
      </c>
      <c r="D91">
        <f t="shared" ca="1" si="86"/>
        <v>2</v>
      </c>
      <c r="E91">
        <f t="shared" ca="1" si="86"/>
        <v>4</v>
      </c>
      <c r="F91">
        <f t="shared" ref="F91" ca="1" si="91">IF(INDIRECT(F$1&amp;"!$K"&amp;$A91+12)="",#N/A,F256+F311+F366)</f>
        <v>5</v>
      </c>
    </row>
    <row r="92" spans="1:6" outlineLevel="1" x14ac:dyDescent="0.2">
      <c r="A92">
        <v>26</v>
      </c>
      <c r="B92">
        <f t="shared" ca="1" si="86"/>
        <v>3</v>
      </c>
      <c r="C92">
        <f t="shared" ca="1" si="86"/>
        <v>1</v>
      </c>
      <c r="D92">
        <f t="shared" ca="1" si="86"/>
        <v>2</v>
      </c>
      <c r="E92">
        <f t="shared" ca="1" si="86"/>
        <v>4</v>
      </c>
      <c r="F92">
        <f t="shared" ref="F92" ca="1" si="92">IF(INDIRECT(F$1&amp;"!$K"&amp;$A92+12)="",#N/A,F257+F312+F367)</f>
        <v>5</v>
      </c>
    </row>
    <row r="93" spans="1:6" outlineLevel="1" x14ac:dyDescent="0.2">
      <c r="A93">
        <v>27</v>
      </c>
      <c r="B93">
        <f t="shared" ca="1" si="86"/>
        <v>3</v>
      </c>
      <c r="C93">
        <f t="shared" ca="1" si="86"/>
        <v>2</v>
      </c>
      <c r="D93">
        <f t="shared" ca="1" si="86"/>
        <v>1</v>
      </c>
      <c r="E93">
        <f t="shared" ca="1" si="86"/>
        <v>4</v>
      </c>
      <c r="F93">
        <f t="shared" ref="F93" ca="1" si="93">IF(INDIRECT(F$1&amp;"!$K"&amp;$A93+12)="",#N/A,F258+F313+F368)</f>
        <v>5</v>
      </c>
    </row>
    <row r="94" spans="1:6" outlineLevel="1" x14ac:dyDescent="0.2">
      <c r="A94">
        <v>28</v>
      </c>
      <c r="B94">
        <f t="shared" ca="1" si="86"/>
        <v>3</v>
      </c>
      <c r="C94">
        <f t="shared" ca="1" si="86"/>
        <v>2</v>
      </c>
      <c r="D94">
        <f t="shared" ca="1" si="86"/>
        <v>1</v>
      </c>
      <c r="E94">
        <f t="shared" ca="1" si="86"/>
        <v>4</v>
      </c>
      <c r="F94">
        <f t="shared" ref="F94" ca="1" si="94">IF(INDIRECT(F$1&amp;"!$K"&amp;$A94+12)="",#N/A,F259+F314+F369)</f>
        <v>5</v>
      </c>
    </row>
    <row r="95" spans="1:6" outlineLevel="1" x14ac:dyDescent="0.2">
      <c r="A95">
        <v>29</v>
      </c>
      <c r="B95">
        <f t="shared" ca="1" si="86"/>
        <v>3</v>
      </c>
      <c r="C95">
        <f t="shared" ca="1" si="86"/>
        <v>2</v>
      </c>
      <c r="D95">
        <f t="shared" ca="1" si="86"/>
        <v>1</v>
      </c>
      <c r="E95">
        <f t="shared" ca="1" si="86"/>
        <v>4</v>
      </c>
      <c r="F95">
        <f t="shared" ref="F95" ca="1" si="95">IF(INDIRECT(F$1&amp;"!$K"&amp;$A95+12)="",#N/A,F260+F315+F370)</f>
        <v>5</v>
      </c>
    </row>
    <row r="96" spans="1:6" outlineLevel="1" x14ac:dyDescent="0.2">
      <c r="A96">
        <v>30</v>
      </c>
      <c r="B96">
        <f t="shared" ca="1" si="86"/>
        <v>3</v>
      </c>
      <c r="C96">
        <f t="shared" ca="1" si="86"/>
        <v>2</v>
      </c>
      <c r="D96">
        <f t="shared" ca="1" si="86"/>
        <v>1</v>
      </c>
      <c r="E96">
        <f t="shared" ca="1" si="86"/>
        <v>4</v>
      </c>
      <c r="F96">
        <f t="shared" ref="F96" ca="1" si="96">IF(INDIRECT(F$1&amp;"!$K"&amp;$A96+12)="",#N/A,F261+F316+F371)</f>
        <v>5</v>
      </c>
    </row>
    <row r="97" spans="1:6" outlineLevel="1" x14ac:dyDescent="0.2">
      <c r="A97">
        <v>31</v>
      </c>
      <c r="B97">
        <f t="shared" ref="B97:E106" ca="1" si="97">IF(INDIRECT(B$1&amp;"!$K"&amp;$A97+12)="",#N/A,B262+B317+B372)</f>
        <v>3</v>
      </c>
      <c r="C97">
        <f t="shared" ca="1" si="97"/>
        <v>2</v>
      </c>
      <c r="D97">
        <f t="shared" ca="1" si="97"/>
        <v>1</v>
      </c>
      <c r="E97">
        <f t="shared" ca="1" si="97"/>
        <v>4</v>
      </c>
      <c r="F97">
        <f t="shared" ref="F97" ca="1" si="98">IF(INDIRECT(F$1&amp;"!$K"&amp;$A97+12)="",#N/A,F262+F317+F372)</f>
        <v>5</v>
      </c>
    </row>
    <row r="98" spans="1:6" outlineLevel="1" x14ac:dyDescent="0.2">
      <c r="A98">
        <v>32</v>
      </c>
      <c r="B98" t="e">
        <f t="shared" ca="1" si="97"/>
        <v>#N/A</v>
      </c>
      <c r="C98" t="e">
        <f t="shared" ca="1" si="97"/>
        <v>#N/A</v>
      </c>
      <c r="D98" t="e">
        <f t="shared" ca="1" si="97"/>
        <v>#N/A</v>
      </c>
      <c r="E98" t="e">
        <f t="shared" ca="1" si="97"/>
        <v>#N/A</v>
      </c>
      <c r="F98" t="e">
        <f t="shared" ref="F98" ca="1" si="99">IF(INDIRECT(F$1&amp;"!$K"&amp;$A98+12)="",#N/A,F263+F318+F373)</f>
        <v>#N/A</v>
      </c>
    </row>
    <row r="99" spans="1:6" outlineLevel="1" x14ac:dyDescent="0.2">
      <c r="A99">
        <v>33</v>
      </c>
      <c r="B99" t="e">
        <f t="shared" ca="1" si="97"/>
        <v>#N/A</v>
      </c>
      <c r="C99" t="e">
        <f t="shared" ca="1" si="97"/>
        <v>#N/A</v>
      </c>
      <c r="D99" t="e">
        <f t="shared" ca="1" si="97"/>
        <v>#N/A</v>
      </c>
      <c r="E99" t="e">
        <f t="shared" ca="1" si="97"/>
        <v>#N/A</v>
      </c>
      <c r="F99" t="e">
        <f t="shared" ref="F99" ca="1" si="100">IF(INDIRECT(F$1&amp;"!$K"&amp;$A99+12)="",#N/A,F264+F319+F374)</f>
        <v>#N/A</v>
      </c>
    </row>
    <row r="100" spans="1:6" outlineLevel="1" x14ac:dyDescent="0.2">
      <c r="A100">
        <v>34</v>
      </c>
      <c r="B100" t="e">
        <f t="shared" ca="1" si="97"/>
        <v>#N/A</v>
      </c>
      <c r="C100" t="e">
        <f t="shared" ca="1" si="97"/>
        <v>#N/A</v>
      </c>
      <c r="D100" t="e">
        <f t="shared" ca="1" si="97"/>
        <v>#N/A</v>
      </c>
      <c r="E100" t="e">
        <f t="shared" ca="1" si="97"/>
        <v>#N/A</v>
      </c>
      <c r="F100" t="e">
        <f t="shared" ref="F100" ca="1" si="101">IF(INDIRECT(F$1&amp;"!$K"&amp;$A100+12)="",#N/A,F265+F320+F375)</f>
        <v>#N/A</v>
      </c>
    </row>
    <row r="101" spans="1:6" outlineLevel="1" x14ac:dyDescent="0.2">
      <c r="A101">
        <v>35</v>
      </c>
      <c r="B101" t="e">
        <f t="shared" ca="1" si="97"/>
        <v>#N/A</v>
      </c>
      <c r="C101" t="e">
        <f t="shared" ca="1" si="97"/>
        <v>#N/A</v>
      </c>
      <c r="D101" t="e">
        <f t="shared" ca="1" si="97"/>
        <v>#N/A</v>
      </c>
      <c r="E101" t="e">
        <f t="shared" ca="1" si="97"/>
        <v>#N/A</v>
      </c>
      <c r="F101" t="e">
        <f t="shared" ref="F101" ca="1" si="102">IF(INDIRECT(F$1&amp;"!$K"&amp;$A101+12)="",#N/A,F266+F321+F376)</f>
        <v>#N/A</v>
      </c>
    </row>
    <row r="102" spans="1:6" outlineLevel="1" x14ac:dyDescent="0.2">
      <c r="A102">
        <v>36</v>
      </c>
      <c r="B102" t="e">
        <f t="shared" ca="1" si="97"/>
        <v>#N/A</v>
      </c>
      <c r="C102" t="e">
        <f t="shared" ca="1" si="97"/>
        <v>#N/A</v>
      </c>
      <c r="D102" t="e">
        <f t="shared" ca="1" si="97"/>
        <v>#N/A</v>
      </c>
      <c r="E102" t="e">
        <f t="shared" ca="1" si="97"/>
        <v>#N/A</v>
      </c>
      <c r="F102" t="e">
        <f t="shared" ref="F102" ca="1" si="103">IF(INDIRECT(F$1&amp;"!$K"&amp;$A102+12)="",#N/A,F267+F322+F377)</f>
        <v>#N/A</v>
      </c>
    </row>
    <row r="103" spans="1:6" outlineLevel="1" x14ac:dyDescent="0.2">
      <c r="A103">
        <v>37</v>
      </c>
      <c r="B103" t="e">
        <f t="shared" ca="1" si="97"/>
        <v>#N/A</v>
      </c>
      <c r="C103" t="e">
        <f t="shared" ca="1" si="97"/>
        <v>#N/A</v>
      </c>
      <c r="D103" t="e">
        <f t="shared" ca="1" si="97"/>
        <v>#N/A</v>
      </c>
      <c r="E103" t="e">
        <f t="shared" ca="1" si="97"/>
        <v>#N/A</v>
      </c>
      <c r="F103" t="e">
        <f t="shared" ref="F103" ca="1" si="104">IF(INDIRECT(F$1&amp;"!$K"&amp;$A103+12)="",#N/A,F268+F323+F378)</f>
        <v>#N/A</v>
      </c>
    </row>
    <row r="104" spans="1:6" outlineLevel="1" x14ac:dyDescent="0.2">
      <c r="A104">
        <v>38</v>
      </c>
      <c r="B104" t="e">
        <f t="shared" ca="1" si="97"/>
        <v>#N/A</v>
      </c>
      <c r="C104" t="e">
        <f t="shared" ca="1" si="97"/>
        <v>#N/A</v>
      </c>
      <c r="D104" t="e">
        <f t="shared" ca="1" si="97"/>
        <v>#N/A</v>
      </c>
      <c r="E104" t="e">
        <f t="shared" ca="1" si="97"/>
        <v>#N/A</v>
      </c>
      <c r="F104" t="e">
        <f t="shared" ref="F104" ca="1" si="105">IF(INDIRECT(F$1&amp;"!$K"&amp;$A104+12)="",#N/A,F269+F324+F379)</f>
        <v>#N/A</v>
      </c>
    </row>
    <row r="105" spans="1:6" outlineLevel="1" x14ac:dyDescent="0.2">
      <c r="A105">
        <v>39</v>
      </c>
      <c r="B105" t="e">
        <f t="shared" ca="1" si="97"/>
        <v>#N/A</v>
      </c>
      <c r="C105" t="e">
        <f t="shared" ca="1" si="97"/>
        <v>#N/A</v>
      </c>
      <c r="D105" t="e">
        <f t="shared" ca="1" si="97"/>
        <v>#N/A</v>
      </c>
      <c r="E105" t="e">
        <f t="shared" ca="1" si="97"/>
        <v>#N/A</v>
      </c>
      <c r="F105" t="e">
        <f t="shared" ref="F105" ca="1" si="106">IF(INDIRECT(F$1&amp;"!$K"&amp;$A105+12)="",#N/A,F270+F325+F380)</f>
        <v>#N/A</v>
      </c>
    </row>
    <row r="106" spans="1:6" outlineLevel="1" x14ac:dyDescent="0.2">
      <c r="A106">
        <v>40</v>
      </c>
      <c r="B106" t="e">
        <f t="shared" ca="1" si="97"/>
        <v>#N/A</v>
      </c>
      <c r="C106" t="e">
        <f t="shared" ca="1" si="97"/>
        <v>#N/A</v>
      </c>
      <c r="D106" t="e">
        <f t="shared" ca="1" si="97"/>
        <v>#N/A</v>
      </c>
      <c r="E106" t="e">
        <f t="shared" ca="1" si="97"/>
        <v>#N/A</v>
      </c>
      <c r="F106" t="e">
        <f t="shared" ref="F106" ca="1" si="107">IF(INDIRECT(F$1&amp;"!$K"&amp;$A106+12)="",#N/A,F271+F326+F381)</f>
        <v>#N/A</v>
      </c>
    </row>
    <row r="107" spans="1:6" outlineLevel="1" x14ac:dyDescent="0.2">
      <c r="A107">
        <v>41</v>
      </c>
      <c r="B107" t="e">
        <f t="shared" ref="B107:E116" ca="1" si="108">IF(INDIRECT(B$1&amp;"!$K"&amp;$A107+12)="",#N/A,B272+B327+B382)</f>
        <v>#N/A</v>
      </c>
      <c r="C107" t="e">
        <f t="shared" ca="1" si="108"/>
        <v>#N/A</v>
      </c>
      <c r="D107" t="e">
        <f t="shared" ca="1" si="108"/>
        <v>#N/A</v>
      </c>
      <c r="E107" t="e">
        <f t="shared" ca="1" si="108"/>
        <v>#N/A</v>
      </c>
      <c r="F107" t="e">
        <f t="shared" ref="F107" ca="1" si="109">IF(INDIRECT(F$1&amp;"!$K"&amp;$A107+12)="",#N/A,F272+F327+F382)</f>
        <v>#N/A</v>
      </c>
    </row>
    <row r="108" spans="1:6" outlineLevel="1" x14ac:dyDescent="0.2">
      <c r="A108">
        <v>42</v>
      </c>
      <c r="B108" t="e">
        <f t="shared" ca="1" si="108"/>
        <v>#N/A</v>
      </c>
      <c r="C108" t="e">
        <f t="shared" ca="1" si="108"/>
        <v>#N/A</v>
      </c>
      <c r="D108" t="e">
        <f t="shared" ca="1" si="108"/>
        <v>#N/A</v>
      </c>
      <c r="E108" t="e">
        <f t="shared" ca="1" si="108"/>
        <v>#N/A</v>
      </c>
      <c r="F108" t="e">
        <f t="shared" ref="F108" ca="1" si="110">IF(INDIRECT(F$1&amp;"!$K"&amp;$A108+12)="",#N/A,F273+F328+F383)</f>
        <v>#N/A</v>
      </c>
    </row>
    <row r="109" spans="1:6" outlineLevel="1" x14ac:dyDescent="0.2">
      <c r="A109">
        <v>43</v>
      </c>
      <c r="B109" t="e">
        <f t="shared" ca="1" si="108"/>
        <v>#N/A</v>
      </c>
      <c r="C109" t="e">
        <f t="shared" ca="1" si="108"/>
        <v>#N/A</v>
      </c>
      <c r="D109" t="e">
        <f t="shared" ca="1" si="108"/>
        <v>#N/A</v>
      </c>
      <c r="E109" t="e">
        <f t="shared" ca="1" si="108"/>
        <v>#N/A</v>
      </c>
      <c r="F109" t="e">
        <f t="shared" ref="F109" ca="1" si="111">IF(INDIRECT(F$1&amp;"!$K"&amp;$A109+12)="",#N/A,F274+F329+F384)</f>
        <v>#N/A</v>
      </c>
    </row>
    <row r="110" spans="1:6" outlineLevel="1" x14ac:dyDescent="0.2">
      <c r="A110">
        <v>44</v>
      </c>
      <c r="B110" t="e">
        <f t="shared" ca="1" si="108"/>
        <v>#N/A</v>
      </c>
      <c r="C110" t="e">
        <f t="shared" ca="1" si="108"/>
        <v>#N/A</v>
      </c>
      <c r="D110" t="e">
        <f t="shared" ca="1" si="108"/>
        <v>#N/A</v>
      </c>
      <c r="E110" t="e">
        <f t="shared" ca="1" si="108"/>
        <v>#N/A</v>
      </c>
      <c r="F110" t="e">
        <f t="shared" ref="F110" ca="1" si="112">IF(INDIRECT(F$1&amp;"!$K"&amp;$A110+12)="",#N/A,F275+F330+F385)</f>
        <v>#N/A</v>
      </c>
    </row>
    <row r="111" spans="1:6" outlineLevel="1" x14ac:dyDescent="0.2">
      <c r="A111">
        <v>45</v>
      </c>
      <c r="B111" t="e">
        <f t="shared" ca="1" si="108"/>
        <v>#N/A</v>
      </c>
      <c r="C111" t="e">
        <f t="shared" ca="1" si="108"/>
        <v>#N/A</v>
      </c>
      <c r="D111" t="e">
        <f t="shared" ca="1" si="108"/>
        <v>#N/A</v>
      </c>
      <c r="E111" t="e">
        <f t="shared" ca="1" si="108"/>
        <v>#N/A</v>
      </c>
      <c r="F111" t="e">
        <f t="shared" ref="F111" ca="1" si="113">IF(INDIRECT(F$1&amp;"!$K"&amp;$A111+12)="",#N/A,F276+F331+F386)</f>
        <v>#N/A</v>
      </c>
    </row>
    <row r="112" spans="1:6" outlineLevel="1" x14ac:dyDescent="0.2">
      <c r="A112">
        <v>46</v>
      </c>
      <c r="B112" t="e">
        <f t="shared" ca="1" si="108"/>
        <v>#N/A</v>
      </c>
      <c r="C112" t="e">
        <f t="shared" ca="1" si="108"/>
        <v>#N/A</v>
      </c>
      <c r="D112" t="e">
        <f t="shared" ca="1" si="108"/>
        <v>#N/A</v>
      </c>
      <c r="E112" t="e">
        <f t="shared" ca="1" si="108"/>
        <v>#N/A</v>
      </c>
      <c r="F112" t="e">
        <f t="shared" ref="F112" ca="1" si="114">IF(INDIRECT(F$1&amp;"!$K"&amp;$A112+12)="",#N/A,F277+F332+F387)</f>
        <v>#N/A</v>
      </c>
    </row>
    <row r="113" spans="1:9" outlineLevel="1" x14ac:dyDescent="0.2">
      <c r="A113">
        <v>47</v>
      </c>
      <c r="B113" t="e">
        <f t="shared" ca="1" si="108"/>
        <v>#N/A</v>
      </c>
      <c r="C113" t="e">
        <f t="shared" ca="1" si="108"/>
        <v>#N/A</v>
      </c>
      <c r="D113" t="e">
        <f t="shared" ca="1" si="108"/>
        <v>#N/A</v>
      </c>
      <c r="E113" t="e">
        <f t="shared" ca="1" si="108"/>
        <v>#N/A</v>
      </c>
      <c r="F113" t="e">
        <f t="shared" ref="F113" ca="1" si="115">IF(INDIRECT(F$1&amp;"!$K"&amp;$A113+12)="",#N/A,F278+F333+F388)</f>
        <v>#N/A</v>
      </c>
    </row>
    <row r="114" spans="1:9" outlineLevel="1" x14ac:dyDescent="0.2">
      <c r="A114">
        <v>48</v>
      </c>
      <c r="B114" t="e">
        <f t="shared" ca="1" si="108"/>
        <v>#N/A</v>
      </c>
      <c r="C114" t="e">
        <f t="shared" ca="1" si="108"/>
        <v>#N/A</v>
      </c>
      <c r="D114" t="e">
        <f t="shared" ca="1" si="108"/>
        <v>#N/A</v>
      </c>
      <c r="E114" t="e">
        <f t="shared" ca="1" si="108"/>
        <v>#N/A</v>
      </c>
      <c r="F114" t="e">
        <f t="shared" ref="F114" ca="1" si="116">IF(INDIRECT(F$1&amp;"!$K"&amp;$A114+12)="",#N/A,F279+F334+F389)</f>
        <v>#N/A</v>
      </c>
    </row>
    <row r="115" spans="1:9" outlineLevel="1" x14ac:dyDescent="0.2">
      <c r="A115">
        <v>49</v>
      </c>
      <c r="B115" t="e">
        <f t="shared" ca="1" si="108"/>
        <v>#N/A</v>
      </c>
      <c r="C115" t="e">
        <f t="shared" ca="1" si="108"/>
        <v>#N/A</v>
      </c>
      <c r="D115" t="e">
        <f t="shared" ca="1" si="108"/>
        <v>#N/A</v>
      </c>
      <c r="E115" t="e">
        <f t="shared" ca="1" si="108"/>
        <v>#N/A</v>
      </c>
      <c r="F115" t="e">
        <f t="shared" ref="F115" ca="1" si="117">IF(INDIRECT(F$1&amp;"!$K"&amp;$A115+12)="",#N/A,F280+F335+F390)</f>
        <v>#N/A</v>
      </c>
    </row>
    <row r="116" spans="1:9" outlineLevel="1" x14ac:dyDescent="0.2">
      <c r="A116">
        <v>50</v>
      </c>
      <c r="B116" t="e">
        <f t="shared" ca="1" si="108"/>
        <v>#N/A</v>
      </c>
      <c r="C116" t="e">
        <f t="shared" ca="1" si="108"/>
        <v>#N/A</v>
      </c>
      <c r="D116" t="e">
        <f t="shared" ca="1" si="108"/>
        <v>#N/A</v>
      </c>
      <c r="E116" t="e">
        <f t="shared" ca="1" si="108"/>
        <v>#N/A</v>
      </c>
      <c r="F116" t="e">
        <f t="shared" ref="F116" ca="1" si="118">IF(INDIRECT(F$1&amp;"!$K"&amp;$A116+12)="",#N/A,F281+F336+F391)</f>
        <v>#N/A</v>
      </c>
    </row>
    <row r="117" spans="1:9" outlineLevel="1" x14ac:dyDescent="0.2">
      <c r="A117">
        <v>51</v>
      </c>
      <c r="B117" t="e">
        <f t="shared" ref="B117:E117" ca="1" si="119">IF(INDIRECT(B$1&amp;"!$K"&amp;$A117+12)="",#N/A,B282+B337+B392)</f>
        <v>#N/A</v>
      </c>
      <c r="C117" t="e">
        <f t="shared" ca="1" si="119"/>
        <v>#N/A</v>
      </c>
      <c r="D117" t="e">
        <f t="shared" ca="1" si="119"/>
        <v>#N/A</v>
      </c>
      <c r="E117" t="e">
        <f t="shared" ca="1" si="119"/>
        <v>#N/A</v>
      </c>
      <c r="F117" t="e">
        <f t="shared" ref="F117" ca="1" si="120">IF(INDIRECT(F$1&amp;"!$K"&amp;$A117+12)="",#N/A,F282+F337+F392)</f>
        <v>#N/A</v>
      </c>
    </row>
    <row r="120" spans="1:9" x14ac:dyDescent="0.2">
      <c r="B120" t="s">
        <v>100</v>
      </c>
    </row>
    <row r="121" spans="1:9" outlineLevel="1" x14ac:dyDescent="0.2">
      <c r="A121" t="s">
        <v>102</v>
      </c>
      <c r="B121" s="73" t="str">
        <f>B$1</f>
        <v>Jocke</v>
      </c>
      <c r="C121" s="73" t="str">
        <f t="shared" ref="C121:F121" si="121">C$1</f>
        <v>Markus</v>
      </c>
      <c r="D121" s="73" t="str">
        <f t="shared" si="121"/>
        <v>Rickard</v>
      </c>
      <c r="E121" s="73" t="str">
        <f t="shared" si="121"/>
        <v>Tomas</v>
      </c>
      <c r="F121" s="73" t="str">
        <f t="shared" si="121"/>
        <v>Kalle</v>
      </c>
      <c r="G121" s="73"/>
      <c r="H121" s="73"/>
      <c r="I121" s="73"/>
    </row>
    <row r="122" spans="1:9" outlineLevel="1" x14ac:dyDescent="0.2">
      <c r="A122">
        <v>1</v>
      </c>
      <c r="B122">
        <f ca="1">IF(INDIRECT(B$1&amp;"!$K$"&amp;$A122+12)="","",COUNTIFS(INDIRECT(B$1&amp;"!$K"&amp;$A$122+12&amp;":$K"&amp;$A122+12),Resultat!$AA$3+Resultat!$AA$4))</f>
        <v>0</v>
      </c>
      <c r="C122">
        <f ca="1">IF(INDIRECT(C$1&amp;"!$K$"&amp;$A122+12)="","",COUNTIFS(INDIRECT(C$1&amp;"!$K"&amp;$A$122+12&amp;":$K"&amp;$A122+12),Resultat!$AA$3+Resultat!$AA$4))</f>
        <v>0</v>
      </c>
      <c r="D122">
        <f ca="1">IF(INDIRECT(D$1&amp;"!$K$"&amp;$A122+12)="","",COUNTIFS(INDIRECT(D$1&amp;"!$K"&amp;$A$122+12&amp;":$K"&amp;$A122+12),Resultat!$AA$3+Resultat!$AA$4))</f>
        <v>0</v>
      </c>
      <c r="E122">
        <f ca="1">IF(INDIRECT(E$1&amp;"!$K$"&amp;$A122+12)="","",COUNTIFS(INDIRECT(E$1&amp;"!$K"&amp;$A$122+12&amp;":$K"&amp;$A122+12),Resultat!$AA$3+Resultat!$AA$4))</f>
        <v>0</v>
      </c>
      <c r="F122">
        <f ca="1">IF(INDIRECT(F$1&amp;"!$K$"&amp;$A122+12)="","",COUNTIFS(INDIRECT(F$1&amp;"!$K"&amp;$A$122+12&amp;":$K"&amp;$A122+12),Resultat!$AA$3+Resultat!$AA$4))</f>
        <v>0</v>
      </c>
    </row>
    <row r="123" spans="1:9" outlineLevel="1" x14ac:dyDescent="0.2">
      <c r="A123">
        <v>2</v>
      </c>
      <c r="B123">
        <f ca="1">IF(INDIRECT(B$1&amp;"!$K$"&amp;$A123+12)="","",COUNTIFS(INDIRECT(B$1&amp;"!$K"&amp;$A$122+12&amp;":$K"&amp;$A123+12),Resultat!$AA$3+Resultat!$AA$4))</f>
        <v>0</v>
      </c>
      <c r="C123">
        <f ca="1">IF(INDIRECT(C$1&amp;"!$K$"&amp;$A123+12)="","",COUNTIFS(INDIRECT(C$1&amp;"!$K"&amp;$A$122+12&amp;":$K"&amp;$A123+12),Resultat!$AA$3+Resultat!$AA$4))</f>
        <v>0</v>
      </c>
      <c r="D123">
        <f ca="1">IF(INDIRECT(D$1&amp;"!$K$"&amp;$A123+12)="","",COUNTIFS(INDIRECT(D$1&amp;"!$K"&amp;$A$122+12&amp;":$K"&amp;$A123+12),Resultat!$AA$3+Resultat!$AA$4))</f>
        <v>1</v>
      </c>
      <c r="E123">
        <f ca="1">IF(INDIRECT(E$1&amp;"!$K$"&amp;$A123+12)="","",COUNTIFS(INDIRECT(E$1&amp;"!$K"&amp;$A$122+12&amp;":$K"&amp;$A123+12),Resultat!$AA$3+Resultat!$AA$4))</f>
        <v>0</v>
      </c>
      <c r="F123">
        <f ca="1">IF(INDIRECT(F$1&amp;"!$K$"&amp;$A123+12)="","",COUNTIFS(INDIRECT(F$1&amp;"!$K"&amp;$A$122+12&amp;":$K"&amp;$A123+12),Resultat!$AA$3+Resultat!$AA$4))</f>
        <v>0</v>
      </c>
    </row>
    <row r="124" spans="1:9" outlineLevel="1" x14ac:dyDescent="0.2">
      <c r="A124">
        <v>3</v>
      </c>
      <c r="B124">
        <f ca="1">IF(INDIRECT(B$1&amp;"!$K$"&amp;$A124+12)="","",COUNTIFS(INDIRECT(B$1&amp;"!$K"&amp;$A$122+12&amp;":$K"&amp;$A124+12),Resultat!$AA$3+Resultat!$AA$4))</f>
        <v>0</v>
      </c>
      <c r="C124">
        <f ca="1">IF(INDIRECT(C$1&amp;"!$K$"&amp;$A124+12)="","",COUNTIFS(INDIRECT(C$1&amp;"!$K"&amp;$A$122+12&amp;":$K"&amp;$A124+12),Resultat!$AA$3+Resultat!$AA$4))</f>
        <v>0</v>
      </c>
      <c r="D124">
        <f ca="1">IF(INDIRECT(D$1&amp;"!$K$"&amp;$A124+12)="","",COUNTIFS(INDIRECT(D$1&amp;"!$K"&amp;$A$122+12&amp;":$K"&amp;$A124+12),Resultat!$AA$3+Resultat!$AA$4))</f>
        <v>1</v>
      </c>
      <c r="E124">
        <f ca="1">IF(INDIRECT(E$1&amp;"!$K$"&amp;$A124+12)="","",COUNTIFS(INDIRECT(E$1&amp;"!$K"&amp;$A$122+12&amp;":$K"&amp;$A124+12),Resultat!$AA$3+Resultat!$AA$4))</f>
        <v>0</v>
      </c>
      <c r="F124">
        <f ca="1">IF(INDIRECT(F$1&amp;"!$K$"&amp;$A124+12)="","",COUNTIFS(INDIRECT(F$1&amp;"!$K"&amp;$A$122+12&amp;":$K"&amp;$A124+12),Resultat!$AA$3+Resultat!$AA$4))</f>
        <v>0</v>
      </c>
    </row>
    <row r="125" spans="1:9" outlineLevel="1" x14ac:dyDescent="0.2">
      <c r="A125">
        <v>4</v>
      </c>
      <c r="B125">
        <f ca="1">IF(INDIRECT(B$1&amp;"!$K$"&amp;$A125+12)="","",COUNTIFS(INDIRECT(B$1&amp;"!$K"&amp;$A$122+12&amp;":$K"&amp;$A125+12),Resultat!$AA$3+Resultat!$AA$4))</f>
        <v>0</v>
      </c>
      <c r="C125">
        <f ca="1">IF(INDIRECT(C$1&amp;"!$K$"&amp;$A125+12)="","",COUNTIFS(INDIRECT(C$1&amp;"!$K"&amp;$A$122+12&amp;":$K"&amp;$A125+12),Resultat!$AA$3+Resultat!$AA$4))</f>
        <v>1</v>
      </c>
      <c r="D125">
        <f ca="1">IF(INDIRECT(D$1&amp;"!$K$"&amp;$A125+12)="","",COUNTIFS(INDIRECT(D$1&amp;"!$K"&amp;$A$122+12&amp;":$K"&amp;$A125+12),Resultat!$AA$3+Resultat!$AA$4))</f>
        <v>2</v>
      </c>
      <c r="E125">
        <f ca="1">IF(INDIRECT(E$1&amp;"!$K$"&amp;$A125+12)="","",COUNTIFS(INDIRECT(E$1&amp;"!$K"&amp;$A$122+12&amp;":$K"&amp;$A125+12),Resultat!$AA$3+Resultat!$AA$4))</f>
        <v>0</v>
      </c>
      <c r="F125">
        <f ca="1">IF(INDIRECT(F$1&amp;"!$K$"&amp;$A125+12)="","",COUNTIFS(INDIRECT(F$1&amp;"!$K"&amp;$A$122+12&amp;":$K"&amp;$A125+12),Resultat!$AA$3+Resultat!$AA$4))</f>
        <v>0</v>
      </c>
    </row>
    <row r="126" spans="1:9" outlineLevel="1" x14ac:dyDescent="0.2">
      <c r="A126">
        <v>5</v>
      </c>
      <c r="B126">
        <f ca="1">IF(INDIRECT(B$1&amp;"!$K$"&amp;$A126+12)="","",COUNTIFS(INDIRECT(B$1&amp;"!$K"&amp;$A$122+12&amp;":$K"&amp;$A126+12),Resultat!$AA$3+Resultat!$AA$4))</f>
        <v>0</v>
      </c>
      <c r="C126">
        <f ca="1">IF(INDIRECT(C$1&amp;"!$K$"&amp;$A126+12)="","",COUNTIFS(INDIRECT(C$1&amp;"!$K"&amp;$A$122+12&amp;":$K"&amp;$A126+12),Resultat!$AA$3+Resultat!$AA$4))</f>
        <v>1</v>
      </c>
      <c r="D126">
        <f ca="1">IF(INDIRECT(D$1&amp;"!$K$"&amp;$A126+12)="","",COUNTIFS(INDIRECT(D$1&amp;"!$K"&amp;$A$122+12&amp;":$K"&amp;$A126+12),Resultat!$AA$3+Resultat!$AA$4))</f>
        <v>2</v>
      </c>
      <c r="E126">
        <f ca="1">IF(INDIRECT(E$1&amp;"!$K$"&amp;$A126+12)="","",COUNTIFS(INDIRECT(E$1&amp;"!$K"&amp;$A$122+12&amp;":$K"&amp;$A126+12),Resultat!$AA$3+Resultat!$AA$4))</f>
        <v>0</v>
      </c>
      <c r="F126">
        <f ca="1">IF(INDIRECT(F$1&amp;"!$K$"&amp;$A126+12)="","",COUNTIFS(INDIRECT(F$1&amp;"!$K"&amp;$A$122+12&amp;":$K"&amp;$A126+12),Resultat!$AA$3+Resultat!$AA$4))</f>
        <v>0</v>
      </c>
    </row>
    <row r="127" spans="1:9" outlineLevel="1" x14ac:dyDescent="0.2">
      <c r="A127">
        <v>6</v>
      </c>
      <c r="B127">
        <f ca="1">IF(INDIRECT(B$1&amp;"!$K$"&amp;$A127+12)="","",COUNTIFS(INDIRECT(B$1&amp;"!$K"&amp;$A$122+12&amp;":$K"&amp;$A127+12),Resultat!$AA$3+Resultat!$AA$4))</f>
        <v>0</v>
      </c>
      <c r="C127">
        <f ca="1">IF(INDIRECT(C$1&amp;"!$K$"&amp;$A127+12)="","",COUNTIFS(INDIRECT(C$1&amp;"!$K"&amp;$A$122+12&amp;":$K"&amp;$A127+12),Resultat!$AA$3+Resultat!$AA$4))</f>
        <v>2</v>
      </c>
      <c r="D127">
        <f ca="1">IF(INDIRECT(D$1&amp;"!$K$"&amp;$A127+12)="","",COUNTIFS(INDIRECT(D$1&amp;"!$K"&amp;$A$122+12&amp;":$K"&amp;$A127+12),Resultat!$AA$3+Resultat!$AA$4))</f>
        <v>3</v>
      </c>
      <c r="E127">
        <f ca="1">IF(INDIRECT(E$1&amp;"!$K$"&amp;$A127+12)="","",COUNTIFS(INDIRECT(E$1&amp;"!$K"&amp;$A$122+12&amp;":$K"&amp;$A127+12),Resultat!$AA$3+Resultat!$AA$4))</f>
        <v>0</v>
      </c>
      <c r="F127">
        <f ca="1">IF(INDIRECT(F$1&amp;"!$K$"&amp;$A127+12)="","",COUNTIFS(INDIRECT(F$1&amp;"!$K"&amp;$A$122+12&amp;":$K"&amp;$A127+12),Resultat!$AA$3+Resultat!$AA$4))</f>
        <v>0</v>
      </c>
    </row>
    <row r="128" spans="1:9" outlineLevel="1" x14ac:dyDescent="0.2">
      <c r="A128">
        <v>7</v>
      </c>
      <c r="B128">
        <f ca="1">IF(INDIRECT(B$1&amp;"!$K$"&amp;$A128+12)="","",COUNTIFS(INDIRECT(B$1&amp;"!$K"&amp;$A$122+12&amp;":$K"&amp;$A128+12),Resultat!$AA$3+Resultat!$AA$4))</f>
        <v>0</v>
      </c>
      <c r="C128">
        <f ca="1">IF(INDIRECT(C$1&amp;"!$K$"&amp;$A128+12)="","",COUNTIFS(INDIRECT(C$1&amp;"!$K"&amp;$A$122+12&amp;":$K"&amp;$A128+12),Resultat!$AA$3+Resultat!$AA$4))</f>
        <v>3</v>
      </c>
      <c r="D128">
        <f ca="1">IF(INDIRECT(D$1&amp;"!$K$"&amp;$A128+12)="","",COUNTIFS(INDIRECT(D$1&amp;"!$K"&amp;$A$122+12&amp;":$K"&amp;$A128+12),Resultat!$AA$3+Resultat!$AA$4))</f>
        <v>3</v>
      </c>
      <c r="E128">
        <f ca="1">IF(INDIRECT(E$1&amp;"!$K$"&amp;$A128+12)="","",COUNTIFS(INDIRECT(E$1&amp;"!$K"&amp;$A$122+12&amp;":$K"&amp;$A128+12),Resultat!$AA$3+Resultat!$AA$4))</f>
        <v>0</v>
      </c>
      <c r="F128">
        <f ca="1">IF(INDIRECT(F$1&amp;"!$K$"&amp;$A128+12)="","",COUNTIFS(INDIRECT(F$1&amp;"!$K"&amp;$A$122+12&amp;":$K"&amp;$A128+12),Resultat!$AA$3+Resultat!$AA$4))</f>
        <v>0</v>
      </c>
    </row>
    <row r="129" spans="1:6" outlineLevel="1" x14ac:dyDescent="0.2">
      <c r="A129">
        <v>8</v>
      </c>
      <c r="B129">
        <f ca="1">IF(INDIRECT(B$1&amp;"!$K$"&amp;$A129+12)="","",COUNTIFS(INDIRECT(B$1&amp;"!$K"&amp;$A$122+12&amp;":$K"&amp;$A129+12),Resultat!$AA$3+Resultat!$AA$4))</f>
        <v>0</v>
      </c>
      <c r="C129">
        <f ca="1">IF(INDIRECT(C$1&amp;"!$K$"&amp;$A129+12)="","",COUNTIFS(INDIRECT(C$1&amp;"!$K"&amp;$A$122+12&amp;":$K"&amp;$A129+12),Resultat!$AA$3+Resultat!$AA$4))</f>
        <v>3</v>
      </c>
      <c r="D129">
        <f ca="1">IF(INDIRECT(D$1&amp;"!$K$"&amp;$A129+12)="","",COUNTIFS(INDIRECT(D$1&amp;"!$K"&amp;$A$122+12&amp;":$K"&amp;$A129+12),Resultat!$AA$3+Resultat!$AA$4))</f>
        <v>3</v>
      </c>
      <c r="E129">
        <f ca="1">IF(INDIRECT(E$1&amp;"!$K$"&amp;$A129+12)="","",COUNTIFS(INDIRECT(E$1&amp;"!$K"&amp;$A$122+12&amp;":$K"&amp;$A129+12),Resultat!$AA$3+Resultat!$AA$4))</f>
        <v>0</v>
      </c>
      <c r="F129">
        <f ca="1">IF(INDIRECT(F$1&amp;"!$K$"&amp;$A129+12)="","",COUNTIFS(INDIRECT(F$1&amp;"!$K"&amp;$A$122+12&amp;":$K"&amp;$A129+12),Resultat!$AA$3+Resultat!$AA$4))</f>
        <v>0</v>
      </c>
    </row>
    <row r="130" spans="1:6" outlineLevel="1" x14ac:dyDescent="0.2">
      <c r="A130">
        <v>9</v>
      </c>
      <c r="B130">
        <f ca="1">IF(INDIRECT(B$1&amp;"!$K$"&amp;$A130+12)="","",COUNTIFS(INDIRECT(B$1&amp;"!$K"&amp;$A$122+12&amp;":$K"&amp;$A130+12),Resultat!$AA$3+Resultat!$AA$4))</f>
        <v>0</v>
      </c>
      <c r="C130">
        <f ca="1">IF(INDIRECT(C$1&amp;"!$K$"&amp;$A130+12)="","",COUNTIFS(INDIRECT(C$1&amp;"!$K"&amp;$A$122+12&amp;":$K"&amp;$A130+12),Resultat!$AA$3+Resultat!$AA$4))</f>
        <v>4</v>
      </c>
      <c r="D130">
        <f ca="1">IF(INDIRECT(D$1&amp;"!$K$"&amp;$A130+12)="","",COUNTIFS(INDIRECT(D$1&amp;"!$K"&amp;$A$122+12&amp;":$K"&amp;$A130+12),Resultat!$AA$3+Resultat!$AA$4))</f>
        <v>4</v>
      </c>
      <c r="E130">
        <f ca="1">IF(INDIRECT(E$1&amp;"!$K$"&amp;$A130+12)="","",COUNTIFS(INDIRECT(E$1&amp;"!$K"&amp;$A$122+12&amp;":$K"&amp;$A130+12),Resultat!$AA$3+Resultat!$AA$4))</f>
        <v>0</v>
      </c>
      <c r="F130">
        <f ca="1">IF(INDIRECT(F$1&amp;"!$K$"&amp;$A130+12)="","",COUNTIFS(INDIRECT(F$1&amp;"!$K"&amp;$A$122+12&amp;":$K"&amp;$A130+12),Resultat!$AA$3+Resultat!$AA$4))</f>
        <v>0</v>
      </c>
    </row>
    <row r="131" spans="1:6" outlineLevel="1" x14ac:dyDescent="0.2">
      <c r="A131">
        <v>10</v>
      </c>
      <c r="B131">
        <f ca="1">IF(INDIRECT(B$1&amp;"!$K$"&amp;$A131+12)="","",COUNTIFS(INDIRECT(B$1&amp;"!$K"&amp;$A$122+12&amp;":$K"&amp;$A131+12),Resultat!$AA$3+Resultat!$AA$4))</f>
        <v>0</v>
      </c>
      <c r="C131">
        <f ca="1">IF(INDIRECT(C$1&amp;"!$K$"&amp;$A131+12)="","",COUNTIFS(INDIRECT(C$1&amp;"!$K"&amp;$A$122+12&amp;":$K"&amp;$A131+12),Resultat!$AA$3+Resultat!$AA$4))</f>
        <v>4</v>
      </c>
      <c r="D131">
        <f ca="1">IF(INDIRECT(D$1&amp;"!$K$"&amp;$A131+12)="","",COUNTIFS(INDIRECT(D$1&amp;"!$K"&amp;$A$122+12&amp;":$K"&amp;$A131+12),Resultat!$AA$3+Resultat!$AA$4))</f>
        <v>4</v>
      </c>
      <c r="E131">
        <f ca="1">IF(INDIRECT(E$1&amp;"!$K$"&amp;$A131+12)="","",COUNTIFS(INDIRECT(E$1&amp;"!$K"&amp;$A$122+12&amp;":$K"&amp;$A131+12),Resultat!$AA$3+Resultat!$AA$4))</f>
        <v>0</v>
      </c>
      <c r="F131">
        <f ca="1">IF(INDIRECT(F$1&amp;"!$K$"&amp;$A131+12)="","",COUNTIFS(INDIRECT(F$1&amp;"!$K"&amp;$A$122+12&amp;":$K"&amp;$A131+12),Resultat!$AA$3+Resultat!$AA$4))</f>
        <v>0</v>
      </c>
    </row>
    <row r="132" spans="1:6" outlineLevel="1" x14ac:dyDescent="0.2">
      <c r="A132">
        <v>11</v>
      </c>
      <c r="B132">
        <f ca="1">IF(INDIRECT(B$1&amp;"!$K$"&amp;$A132+12)="","",COUNTIFS(INDIRECT(B$1&amp;"!$K"&amp;$A$122+12&amp;":$K"&amp;$A132+12),Resultat!$AA$3+Resultat!$AA$4))</f>
        <v>0</v>
      </c>
      <c r="C132">
        <f ca="1">IF(INDIRECT(C$1&amp;"!$K$"&amp;$A132+12)="","",COUNTIFS(INDIRECT(C$1&amp;"!$K"&amp;$A$122+12&amp;":$K"&amp;$A132+12),Resultat!$AA$3+Resultat!$AA$4))</f>
        <v>4</v>
      </c>
      <c r="D132">
        <f ca="1">IF(INDIRECT(D$1&amp;"!$K$"&amp;$A132+12)="","",COUNTIFS(INDIRECT(D$1&amp;"!$K"&amp;$A$122+12&amp;":$K"&amp;$A132+12),Resultat!$AA$3+Resultat!$AA$4))</f>
        <v>4</v>
      </c>
      <c r="E132">
        <f ca="1">IF(INDIRECT(E$1&amp;"!$K$"&amp;$A132+12)="","",COUNTIFS(INDIRECT(E$1&amp;"!$K"&amp;$A$122+12&amp;":$K"&amp;$A132+12),Resultat!$AA$3+Resultat!$AA$4))</f>
        <v>0</v>
      </c>
      <c r="F132">
        <f ca="1">IF(INDIRECT(F$1&amp;"!$K$"&amp;$A132+12)="","",COUNTIFS(INDIRECT(F$1&amp;"!$K"&amp;$A$122+12&amp;":$K"&amp;$A132+12),Resultat!$AA$3+Resultat!$AA$4))</f>
        <v>0</v>
      </c>
    </row>
    <row r="133" spans="1:6" outlineLevel="1" x14ac:dyDescent="0.2">
      <c r="A133">
        <v>12</v>
      </c>
      <c r="B133">
        <f ca="1">IF(INDIRECT(B$1&amp;"!$K$"&amp;$A133+12)="","",COUNTIFS(INDIRECT(B$1&amp;"!$K"&amp;$A$122+12&amp;":$K"&amp;$A133+12),Resultat!$AA$3+Resultat!$AA$4))</f>
        <v>0</v>
      </c>
      <c r="C133">
        <f ca="1">IF(INDIRECT(C$1&amp;"!$K$"&amp;$A133+12)="","",COUNTIFS(INDIRECT(C$1&amp;"!$K"&amp;$A$122+12&amp;":$K"&amp;$A133+12),Resultat!$AA$3+Resultat!$AA$4))</f>
        <v>4</v>
      </c>
      <c r="D133">
        <f ca="1">IF(INDIRECT(D$1&amp;"!$K$"&amp;$A133+12)="","",COUNTIFS(INDIRECT(D$1&amp;"!$K"&amp;$A$122+12&amp;":$K"&amp;$A133+12),Resultat!$AA$3+Resultat!$AA$4))</f>
        <v>4</v>
      </c>
      <c r="E133">
        <f ca="1">IF(INDIRECT(E$1&amp;"!$K$"&amp;$A133+12)="","",COUNTIFS(INDIRECT(E$1&amp;"!$K"&amp;$A$122+12&amp;":$K"&amp;$A133+12),Resultat!$AA$3+Resultat!$AA$4))</f>
        <v>0</v>
      </c>
      <c r="F133">
        <f ca="1">IF(INDIRECT(F$1&amp;"!$K$"&amp;$A133+12)="","",COUNTIFS(INDIRECT(F$1&amp;"!$K"&amp;$A$122+12&amp;":$K"&amp;$A133+12),Resultat!$AA$3+Resultat!$AA$4))</f>
        <v>1</v>
      </c>
    </row>
    <row r="134" spans="1:6" outlineLevel="1" x14ac:dyDescent="0.2">
      <c r="A134">
        <v>13</v>
      </c>
      <c r="B134">
        <f ca="1">IF(INDIRECT(B$1&amp;"!$K$"&amp;$A134+12)="","",COUNTIFS(INDIRECT(B$1&amp;"!$K"&amp;$A$122+12&amp;":$K"&amp;$A134+12),Resultat!$AA$3+Resultat!$AA$4))</f>
        <v>0</v>
      </c>
      <c r="C134">
        <f ca="1">IF(INDIRECT(C$1&amp;"!$K$"&amp;$A134+12)="","",COUNTIFS(INDIRECT(C$1&amp;"!$K"&amp;$A$122+12&amp;":$K"&amp;$A134+12),Resultat!$AA$3+Resultat!$AA$4))</f>
        <v>5</v>
      </c>
      <c r="D134">
        <f ca="1">IF(INDIRECT(D$1&amp;"!$K$"&amp;$A134+12)="","",COUNTIFS(INDIRECT(D$1&amp;"!$K"&amp;$A$122+12&amp;":$K"&amp;$A134+12),Resultat!$AA$3+Resultat!$AA$4))</f>
        <v>4</v>
      </c>
      <c r="E134">
        <f ca="1">IF(INDIRECT(E$1&amp;"!$K$"&amp;$A134+12)="","",COUNTIFS(INDIRECT(E$1&amp;"!$K"&amp;$A$122+12&amp;":$K"&amp;$A134+12),Resultat!$AA$3+Resultat!$AA$4))</f>
        <v>0</v>
      </c>
      <c r="F134">
        <f ca="1">IF(INDIRECT(F$1&amp;"!$K$"&amp;$A134+12)="","",COUNTIFS(INDIRECT(F$1&amp;"!$K"&amp;$A$122+12&amp;":$K"&amp;$A134+12),Resultat!$AA$3+Resultat!$AA$4))</f>
        <v>1</v>
      </c>
    </row>
    <row r="135" spans="1:6" outlineLevel="1" x14ac:dyDescent="0.2">
      <c r="A135">
        <v>14</v>
      </c>
      <c r="B135">
        <f ca="1">IF(INDIRECT(B$1&amp;"!$K$"&amp;$A135+12)="","",COUNTIFS(INDIRECT(B$1&amp;"!$K"&amp;$A$122+12&amp;":$K"&amp;$A135+12),Resultat!$AA$3+Resultat!$AA$4))</f>
        <v>0</v>
      </c>
      <c r="C135">
        <f ca="1">IF(INDIRECT(C$1&amp;"!$K$"&amp;$A135+12)="","",COUNTIFS(INDIRECT(C$1&amp;"!$K"&amp;$A$122+12&amp;":$K"&amp;$A135+12),Resultat!$AA$3+Resultat!$AA$4))</f>
        <v>5</v>
      </c>
      <c r="D135">
        <f ca="1">IF(INDIRECT(D$1&amp;"!$K$"&amp;$A135+12)="","",COUNTIFS(INDIRECT(D$1&amp;"!$K"&amp;$A$122+12&amp;":$K"&amp;$A135+12),Resultat!$AA$3+Resultat!$AA$4))</f>
        <v>4</v>
      </c>
      <c r="E135">
        <f ca="1">IF(INDIRECT(E$1&amp;"!$K$"&amp;$A135+12)="","",COUNTIFS(INDIRECT(E$1&amp;"!$K"&amp;$A$122+12&amp;":$K"&amp;$A135+12),Resultat!$AA$3+Resultat!$AA$4))</f>
        <v>0</v>
      </c>
      <c r="F135">
        <f ca="1">IF(INDIRECT(F$1&amp;"!$K$"&amp;$A135+12)="","",COUNTIFS(INDIRECT(F$1&amp;"!$K"&amp;$A$122+12&amp;":$K"&amp;$A135+12),Resultat!$AA$3+Resultat!$AA$4))</f>
        <v>1</v>
      </c>
    </row>
    <row r="136" spans="1:6" outlineLevel="1" x14ac:dyDescent="0.2">
      <c r="A136">
        <v>15</v>
      </c>
      <c r="B136">
        <f ca="1">IF(INDIRECT(B$1&amp;"!$K$"&amp;$A136+12)="","",COUNTIFS(INDIRECT(B$1&amp;"!$K"&amp;$A$122+12&amp;":$K"&amp;$A136+12),Resultat!$AA$3+Resultat!$AA$4))</f>
        <v>0</v>
      </c>
      <c r="C136">
        <f ca="1">IF(INDIRECT(C$1&amp;"!$K$"&amp;$A136+12)="","",COUNTIFS(INDIRECT(C$1&amp;"!$K"&amp;$A$122+12&amp;":$K"&amp;$A136+12),Resultat!$AA$3+Resultat!$AA$4))</f>
        <v>5</v>
      </c>
      <c r="D136">
        <f ca="1">IF(INDIRECT(D$1&amp;"!$K$"&amp;$A136+12)="","",COUNTIFS(INDIRECT(D$1&amp;"!$K"&amp;$A$122+12&amp;":$K"&amp;$A136+12),Resultat!$AA$3+Resultat!$AA$4))</f>
        <v>4</v>
      </c>
      <c r="E136">
        <f ca="1">IF(INDIRECT(E$1&amp;"!$K$"&amp;$A136+12)="","",COUNTIFS(INDIRECT(E$1&amp;"!$K"&amp;$A$122+12&amp;":$K"&amp;$A136+12),Resultat!$AA$3+Resultat!$AA$4))</f>
        <v>0</v>
      </c>
      <c r="F136">
        <f ca="1">IF(INDIRECT(F$1&amp;"!$K$"&amp;$A136+12)="","",COUNTIFS(INDIRECT(F$1&amp;"!$K"&amp;$A$122+12&amp;":$K"&amp;$A136+12),Resultat!$AA$3+Resultat!$AA$4))</f>
        <v>1</v>
      </c>
    </row>
    <row r="137" spans="1:6" outlineLevel="1" x14ac:dyDescent="0.2">
      <c r="A137">
        <v>16</v>
      </c>
      <c r="B137">
        <f ca="1">IF(INDIRECT(B$1&amp;"!$K$"&amp;$A137+12)="","",COUNTIFS(INDIRECT(B$1&amp;"!$K"&amp;$A$122+12&amp;":$K"&amp;$A137+12),Resultat!$AA$3+Resultat!$AA$4))</f>
        <v>0</v>
      </c>
      <c r="C137">
        <f ca="1">IF(INDIRECT(C$1&amp;"!$K$"&amp;$A137+12)="","",COUNTIFS(INDIRECT(C$1&amp;"!$K"&amp;$A$122+12&amp;":$K"&amp;$A137+12),Resultat!$AA$3+Resultat!$AA$4))</f>
        <v>6</v>
      </c>
      <c r="D137">
        <f ca="1">IF(INDIRECT(D$1&amp;"!$K$"&amp;$A137+12)="","",COUNTIFS(INDIRECT(D$1&amp;"!$K"&amp;$A$122+12&amp;":$K"&amp;$A137+12),Resultat!$AA$3+Resultat!$AA$4))</f>
        <v>5</v>
      </c>
      <c r="E137">
        <f ca="1">IF(INDIRECT(E$1&amp;"!$K$"&amp;$A137+12)="","",COUNTIFS(INDIRECT(E$1&amp;"!$K"&amp;$A$122+12&amp;":$K"&amp;$A137+12),Resultat!$AA$3+Resultat!$AA$4))</f>
        <v>0</v>
      </c>
      <c r="F137">
        <f ca="1">IF(INDIRECT(F$1&amp;"!$K$"&amp;$A137+12)="","",COUNTIFS(INDIRECT(F$1&amp;"!$K"&amp;$A$122+12&amp;":$K"&amp;$A137+12),Resultat!$AA$3+Resultat!$AA$4))</f>
        <v>1</v>
      </c>
    </row>
    <row r="138" spans="1:6" outlineLevel="1" x14ac:dyDescent="0.2">
      <c r="A138">
        <v>17</v>
      </c>
      <c r="B138">
        <f ca="1">IF(INDIRECT(B$1&amp;"!$K$"&amp;$A138+12)="","",COUNTIFS(INDIRECT(B$1&amp;"!$K"&amp;$A$122+12&amp;":$K"&amp;$A138+12),Resultat!$AA$3+Resultat!$AA$4))</f>
        <v>1</v>
      </c>
      <c r="C138">
        <f ca="1">IF(INDIRECT(C$1&amp;"!$K$"&amp;$A138+12)="","",COUNTIFS(INDIRECT(C$1&amp;"!$K"&amp;$A$122+12&amp;":$K"&amp;$A138+12),Resultat!$AA$3+Resultat!$AA$4))</f>
        <v>6</v>
      </c>
      <c r="D138">
        <f ca="1">IF(INDIRECT(D$1&amp;"!$K$"&amp;$A138+12)="","",COUNTIFS(INDIRECT(D$1&amp;"!$K"&amp;$A$122+12&amp;":$K"&amp;$A138+12),Resultat!$AA$3+Resultat!$AA$4))</f>
        <v>5</v>
      </c>
      <c r="E138">
        <f ca="1">IF(INDIRECT(E$1&amp;"!$K$"&amp;$A138+12)="","",COUNTIFS(INDIRECT(E$1&amp;"!$K"&amp;$A$122+12&amp;":$K"&amp;$A138+12),Resultat!$AA$3+Resultat!$AA$4))</f>
        <v>0</v>
      </c>
      <c r="F138">
        <f ca="1">IF(INDIRECT(F$1&amp;"!$K$"&amp;$A138+12)="","",COUNTIFS(INDIRECT(F$1&amp;"!$K"&amp;$A$122+12&amp;":$K"&amp;$A138+12),Resultat!$AA$3+Resultat!$AA$4))</f>
        <v>2</v>
      </c>
    </row>
    <row r="139" spans="1:6" outlineLevel="1" x14ac:dyDescent="0.2">
      <c r="A139">
        <v>18</v>
      </c>
      <c r="B139">
        <f ca="1">IF(INDIRECT(B$1&amp;"!$K$"&amp;$A139+12)="","",COUNTIFS(INDIRECT(B$1&amp;"!$K"&amp;$A$122+12&amp;":$K"&amp;$A139+12),Resultat!$AA$3+Resultat!$AA$4))</f>
        <v>1</v>
      </c>
      <c r="C139">
        <f ca="1">IF(INDIRECT(C$1&amp;"!$K$"&amp;$A139+12)="","",COUNTIFS(INDIRECT(C$1&amp;"!$K"&amp;$A$122+12&amp;":$K"&amp;$A139+12),Resultat!$AA$3+Resultat!$AA$4))</f>
        <v>6</v>
      </c>
      <c r="D139">
        <f ca="1">IF(INDIRECT(D$1&amp;"!$K$"&amp;$A139+12)="","",COUNTIFS(INDIRECT(D$1&amp;"!$K"&amp;$A$122+12&amp;":$K"&amp;$A139+12),Resultat!$AA$3+Resultat!$AA$4))</f>
        <v>5</v>
      </c>
      <c r="E139">
        <f ca="1">IF(INDIRECT(E$1&amp;"!$K$"&amp;$A139+12)="","",COUNTIFS(INDIRECT(E$1&amp;"!$K"&amp;$A$122+12&amp;":$K"&amp;$A139+12),Resultat!$AA$3+Resultat!$AA$4))</f>
        <v>0</v>
      </c>
      <c r="F139">
        <f ca="1">IF(INDIRECT(F$1&amp;"!$K$"&amp;$A139+12)="","",COUNTIFS(INDIRECT(F$1&amp;"!$K"&amp;$A$122+12&amp;":$K"&amp;$A139+12),Resultat!$AA$3+Resultat!$AA$4))</f>
        <v>2</v>
      </c>
    </row>
    <row r="140" spans="1:6" outlineLevel="1" x14ac:dyDescent="0.2">
      <c r="A140">
        <v>19</v>
      </c>
      <c r="B140">
        <f ca="1">IF(INDIRECT(B$1&amp;"!$K$"&amp;$A140+12)="","",COUNTIFS(INDIRECT(B$1&amp;"!$K"&amp;$A$122+12&amp;":$K"&amp;$A140+12),Resultat!$AA$3+Resultat!$AA$4))</f>
        <v>1</v>
      </c>
      <c r="C140">
        <f ca="1">IF(INDIRECT(C$1&amp;"!$K$"&amp;$A140+12)="","",COUNTIFS(INDIRECT(C$1&amp;"!$K"&amp;$A$122+12&amp;":$K"&amp;$A140+12),Resultat!$AA$3+Resultat!$AA$4))</f>
        <v>6</v>
      </c>
      <c r="D140">
        <f ca="1">IF(INDIRECT(D$1&amp;"!$K$"&amp;$A140+12)="","",COUNTIFS(INDIRECT(D$1&amp;"!$K"&amp;$A$122+12&amp;":$K"&amp;$A140+12),Resultat!$AA$3+Resultat!$AA$4))</f>
        <v>5</v>
      </c>
      <c r="E140">
        <f ca="1">IF(INDIRECT(E$1&amp;"!$K$"&amp;$A140+12)="","",COUNTIFS(INDIRECT(E$1&amp;"!$K"&amp;$A$122+12&amp;":$K"&amp;$A140+12),Resultat!$AA$3+Resultat!$AA$4))</f>
        <v>0</v>
      </c>
      <c r="F140">
        <f ca="1">IF(INDIRECT(F$1&amp;"!$K$"&amp;$A140+12)="","",COUNTIFS(INDIRECT(F$1&amp;"!$K"&amp;$A$122+12&amp;":$K"&amp;$A140+12),Resultat!$AA$3+Resultat!$AA$4))</f>
        <v>2</v>
      </c>
    </row>
    <row r="141" spans="1:6" outlineLevel="1" x14ac:dyDescent="0.2">
      <c r="A141">
        <v>20</v>
      </c>
      <c r="B141">
        <f ca="1">IF(INDIRECT(B$1&amp;"!$K$"&amp;$A141+12)="","",COUNTIFS(INDIRECT(B$1&amp;"!$K"&amp;$A$122+12&amp;":$K"&amp;$A141+12),Resultat!$AA$3+Resultat!$AA$4))</f>
        <v>1</v>
      </c>
      <c r="C141">
        <f ca="1">IF(INDIRECT(C$1&amp;"!$K$"&amp;$A141+12)="","",COUNTIFS(INDIRECT(C$1&amp;"!$K"&amp;$A$122+12&amp;":$K"&amp;$A141+12),Resultat!$AA$3+Resultat!$AA$4))</f>
        <v>6</v>
      </c>
      <c r="D141">
        <f ca="1">IF(INDIRECT(D$1&amp;"!$K$"&amp;$A141+12)="","",COUNTIFS(INDIRECT(D$1&amp;"!$K"&amp;$A$122+12&amp;":$K"&amp;$A141+12),Resultat!$AA$3+Resultat!$AA$4))</f>
        <v>5</v>
      </c>
      <c r="E141">
        <f ca="1">IF(INDIRECT(E$1&amp;"!$K$"&amp;$A141+12)="","",COUNTIFS(INDIRECT(E$1&amp;"!$K"&amp;$A$122+12&amp;":$K"&amp;$A141+12),Resultat!$AA$3+Resultat!$AA$4))</f>
        <v>0</v>
      </c>
      <c r="F141">
        <f ca="1">IF(INDIRECT(F$1&amp;"!$K$"&amp;$A141+12)="","",COUNTIFS(INDIRECT(F$1&amp;"!$K"&amp;$A$122+12&amp;":$K"&amp;$A141+12),Resultat!$AA$3+Resultat!$AA$4))</f>
        <v>2</v>
      </c>
    </row>
    <row r="142" spans="1:6" outlineLevel="1" x14ac:dyDescent="0.2">
      <c r="A142">
        <v>21</v>
      </c>
      <c r="B142">
        <f ca="1">IF(INDIRECT(B$1&amp;"!$K$"&amp;$A142+12)="","",COUNTIFS(INDIRECT(B$1&amp;"!$K"&amp;$A$122+12&amp;":$K"&amp;$A142+12),Resultat!$AA$3+Resultat!$AA$4))</f>
        <v>2</v>
      </c>
      <c r="C142">
        <f ca="1">IF(INDIRECT(C$1&amp;"!$K$"&amp;$A142+12)="","",COUNTIFS(INDIRECT(C$1&amp;"!$K"&amp;$A$122+12&amp;":$K"&amp;$A142+12),Resultat!$AA$3+Resultat!$AA$4))</f>
        <v>6</v>
      </c>
      <c r="D142">
        <f ca="1">IF(INDIRECT(D$1&amp;"!$K$"&amp;$A142+12)="","",COUNTIFS(INDIRECT(D$1&amp;"!$K"&amp;$A$122+12&amp;":$K"&amp;$A142+12),Resultat!$AA$3+Resultat!$AA$4))</f>
        <v>5</v>
      </c>
      <c r="E142">
        <f ca="1">IF(INDIRECT(E$1&amp;"!$K$"&amp;$A142+12)="","",COUNTIFS(INDIRECT(E$1&amp;"!$K"&amp;$A$122+12&amp;":$K"&amp;$A142+12),Resultat!$AA$3+Resultat!$AA$4))</f>
        <v>0</v>
      </c>
      <c r="F142">
        <f ca="1">IF(INDIRECT(F$1&amp;"!$K$"&amp;$A142+12)="","",COUNTIFS(INDIRECT(F$1&amp;"!$K"&amp;$A$122+12&amp;":$K"&amp;$A142+12),Resultat!$AA$3+Resultat!$AA$4))</f>
        <v>2</v>
      </c>
    </row>
    <row r="143" spans="1:6" outlineLevel="1" x14ac:dyDescent="0.2">
      <c r="A143">
        <v>22</v>
      </c>
      <c r="B143">
        <f ca="1">IF(INDIRECT(B$1&amp;"!$K$"&amp;$A143+12)="","",COUNTIFS(INDIRECT(B$1&amp;"!$K"&amp;$A$122+12&amp;":$K"&amp;$A143+12),Resultat!$AA$3+Resultat!$AA$4))</f>
        <v>3</v>
      </c>
      <c r="C143">
        <f ca="1">IF(INDIRECT(C$1&amp;"!$K$"&amp;$A143+12)="","",COUNTIFS(INDIRECT(C$1&amp;"!$K"&amp;$A$122+12&amp;":$K"&amp;$A143+12),Resultat!$AA$3+Resultat!$AA$4))</f>
        <v>6</v>
      </c>
      <c r="D143">
        <f ca="1">IF(INDIRECT(D$1&amp;"!$K$"&amp;$A143+12)="","",COUNTIFS(INDIRECT(D$1&amp;"!$K"&amp;$A$122+12&amp;":$K"&amp;$A143+12),Resultat!$AA$3+Resultat!$AA$4))</f>
        <v>5</v>
      </c>
      <c r="E143">
        <f ca="1">IF(INDIRECT(E$1&amp;"!$K$"&amp;$A143+12)="","",COUNTIFS(INDIRECT(E$1&amp;"!$K"&amp;$A$122+12&amp;":$K"&amp;$A143+12),Resultat!$AA$3+Resultat!$AA$4))</f>
        <v>0</v>
      </c>
      <c r="F143">
        <f ca="1">IF(INDIRECT(F$1&amp;"!$K$"&amp;$A143+12)="","",COUNTIFS(INDIRECT(F$1&amp;"!$K"&amp;$A$122+12&amp;":$K"&amp;$A143+12),Resultat!$AA$3+Resultat!$AA$4))</f>
        <v>2</v>
      </c>
    </row>
    <row r="144" spans="1:6" outlineLevel="1" x14ac:dyDescent="0.2">
      <c r="A144">
        <v>23</v>
      </c>
      <c r="B144">
        <f ca="1">IF(INDIRECT(B$1&amp;"!$K$"&amp;$A144+12)="","",COUNTIFS(INDIRECT(B$1&amp;"!$K"&amp;$A$122+12&amp;":$K"&amp;$A144+12),Resultat!$AA$3+Resultat!$AA$4))</f>
        <v>3</v>
      </c>
      <c r="C144">
        <f ca="1">IF(INDIRECT(C$1&amp;"!$K$"&amp;$A144+12)="","",COUNTIFS(INDIRECT(C$1&amp;"!$K"&amp;$A$122+12&amp;":$K"&amp;$A144+12),Resultat!$AA$3+Resultat!$AA$4))</f>
        <v>6</v>
      </c>
      <c r="D144">
        <f ca="1">IF(INDIRECT(D$1&amp;"!$K$"&amp;$A144+12)="","",COUNTIFS(INDIRECT(D$1&amp;"!$K"&amp;$A$122+12&amp;":$K"&amp;$A144+12),Resultat!$AA$3+Resultat!$AA$4))</f>
        <v>5</v>
      </c>
      <c r="E144">
        <f ca="1">IF(INDIRECT(E$1&amp;"!$K$"&amp;$A144+12)="","",COUNTIFS(INDIRECT(E$1&amp;"!$K"&amp;$A$122+12&amp;":$K"&amp;$A144+12),Resultat!$AA$3+Resultat!$AA$4))</f>
        <v>0</v>
      </c>
      <c r="F144">
        <f ca="1">IF(INDIRECT(F$1&amp;"!$K$"&amp;$A144+12)="","",COUNTIFS(INDIRECT(F$1&amp;"!$K"&amp;$A$122+12&amp;":$K"&amp;$A144+12),Resultat!$AA$3+Resultat!$AA$4))</f>
        <v>2</v>
      </c>
    </row>
    <row r="145" spans="1:6" outlineLevel="1" x14ac:dyDescent="0.2">
      <c r="A145">
        <v>24</v>
      </c>
      <c r="B145">
        <f ca="1">IF(INDIRECT(B$1&amp;"!$K$"&amp;$A145+12)="","",COUNTIFS(INDIRECT(B$1&amp;"!$K"&amp;$A$122+12&amp;":$K"&amp;$A145+12),Resultat!$AA$3+Resultat!$AA$4))</f>
        <v>4</v>
      </c>
      <c r="C145">
        <f ca="1">IF(INDIRECT(C$1&amp;"!$K$"&amp;$A145+12)="","",COUNTIFS(INDIRECT(C$1&amp;"!$K"&amp;$A$122+12&amp;":$K"&amp;$A145+12),Resultat!$AA$3+Resultat!$AA$4))</f>
        <v>6</v>
      </c>
      <c r="D145">
        <f ca="1">IF(INDIRECT(D$1&amp;"!$K$"&amp;$A145+12)="","",COUNTIFS(INDIRECT(D$1&amp;"!$K"&amp;$A$122+12&amp;":$K"&amp;$A145+12),Resultat!$AA$3+Resultat!$AA$4))</f>
        <v>5</v>
      </c>
      <c r="E145">
        <f ca="1">IF(INDIRECT(E$1&amp;"!$K$"&amp;$A145+12)="","",COUNTIFS(INDIRECT(E$1&amp;"!$K"&amp;$A$122+12&amp;":$K"&amp;$A145+12),Resultat!$AA$3+Resultat!$AA$4))</f>
        <v>0</v>
      </c>
      <c r="F145">
        <f ca="1">IF(INDIRECT(F$1&amp;"!$K$"&amp;$A145+12)="","",COUNTIFS(INDIRECT(F$1&amp;"!$K"&amp;$A$122+12&amp;":$K"&amp;$A145+12),Resultat!$AA$3+Resultat!$AA$4))</f>
        <v>2</v>
      </c>
    </row>
    <row r="146" spans="1:6" outlineLevel="1" x14ac:dyDescent="0.2">
      <c r="A146">
        <v>25</v>
      </c>
      <c r="B146">
        <f ca="1">IF(INDIRECT(B$1&amp;"!$K$"&amp;$A146+12)="","",COUNTIFS(INDIRECT(B$1&amp;"!$K"&amp;$A$122+12&amp;":$K"&amp;$A146+12),Resultat!$AA$3+Resultat!$AA$4))</f>
        <v>4</v>
      </c>
      <c r="C146">
        <f ca="1">IF(INDIRECT(C$1&amp;"!$K$"&amp;$A146+12)="","",COUNTIFS(INDIRECT(C$1&amp;"!$K"&amp;$A$122+12&amp;":$K"&amp;$A146+12),Resultat!$AA$3+Resultat!$AA$4))</f>
        <v>6</v>
      </c>
      <c r="D146">
        <f ca="1">IF(INDIRECT(D$1&amp;"!$K$"&amp;$A146+12)="","",COUNTIFS(INDIRECT(D$1&amp;"!$K"&amp;$A$122+12&amp;":$K"&amp;$A146+12),Resultat!$AA$3+Resultat!$AA$4))</f>
        <v>5</v>
      </c>
      <c r="E146">
        <f ca="1">IF(INDIRECT(E$1&amp;"!$K$"&amp;$A146+12)="","",COUNTIFS(INDIRECT(E$1&amp;"!$K"&amp;$A$122+12&amp;":$K"&amp;$A146+12),Resultat!$AA$3+Resultat!$AA$4))</f>
        <v>0</v>
      </c>
      <c r="F146">
        <f ca="1">IF(INDIRECT(F$1&amp;"!$K$"&amp;$A146+12)="","",COUNTIFS(INDIRECT(F$1&amp;"!$K"&amp;$A$122+12&amp;":$K"&amp;$A146+12),Resultat!$AA$3+Resultat!$AA$4))</f>
        <v>2</v>
      </c>
    </row>
    <row r="147" spans="1:6" outlineLevel="1" x14ac:dyDescent="0.2">
      <c r="A147">
        <v>26</v>
      </c>
      <c r="B147">
        <f ca="1">IF(INDIRECT(B$1&amp;"!$K$"&amp;$A147+12)="","",COUNTIFS(INDIRECT(B$1&amp;"!$K"&amp;$A$122+12&amp;":$K"&amp;$A147+12),Resultat!$AA$3+Resultat!$AA$4))</f>
        <v>4</v>
      </c>
      <c r="C147">
        <f ca="1">IF(INDIRECT(C$1&amp;"!$K$"&amp;$A147+12)="","",COUNTIFS(INDIRECT(C$1&amp;"!$K"&amp;$A$122+12&amp;":$K"&amp;$A147+12),Resultat!$AA$3+Resultat!$AA$4))</f>
        <v>6</v>
      </c>
      <c r="D147">
        <f ca="1">IF(INDIRECT(D$1&amp;"!$K$"&amp;$A147+12)="","",COUNTIFS(INDIRECT(D$1&amp;"!$K"&amp;$A$122+12&amp;":$K"&amp;$A147+12),Resultat!$AA$3+Resultat!$AA$4))</f>
        <v>5</v>
      </c>
      <c r="E147">
        <f ca="1">IF(INDIRECT(E$1&amp;"!$K$"&amp;$A147+12)="","",COUNTIFS(INDIRECT(E$1&amp;"!$K"&amp;$A$122+12&amp;":$K"&amp;$A147+12),Resultat!$AA$3+Resultat!$AA$4))</f>
        <v>0</v>
      </c>
      <c r="F147">
        <f ca="1">IF(INDIRECT(F$1&amp;"!$K$"&amp;$A147+12)="","",COUNTIFS(INDIRECT(F$1&amp;"!$K"&amp;$A$122+12&amp;":$K"&amp;$A147+12),Resultat!$AA$3+Resultat!$AA$4))</f>
        <v>3</v>
      </c>
    </row>
    <row r="148" spans="1:6" outlineLevel="1" x14ac:dyDescent="0.2">
      <c r="A148">
        <v>27</v>
      </c>
      <c r="B148">
        <f ca="1">IF(INDIRECT(B$1&amp;"!$K$"&amp;$A148+12)="","",COUNTIFS(INDIRECT(B$1&amp;"!$K"&amp;$A$122+12&amp;":$K"&amp;$A148+12),Resultat!$AA$3+Resultat!$AA$4))</f>
        <v>4</v>
      </c>
      <c r="C148">
        <f ca="1">IF(INDIRECT(C$1&amp;"!$K$"&amp;$A148+12)="","",COUNTIFS(INDIRECT(C$1&amp;"!$K"&amp;$A$122+12&amp;":$K"&amp;$A148+12),Resultat!$AA$3+Resultat!$AA$4))</f>
        <v>6</v>
      </c>
      <c r="D148">
        <f ca="1">IF(INDIRECT(D$1&amp;"!$K$"&amp;$A148+12)="","",COUNTIFS(INDIRECT(D$1&amp;"!$K"&amp;$A$122+12&amp;":$K"&amp;$A148+12),Resultat!$AA$3+Resultat!$AA$4))</f>
        <v>6</v>
      </c>
      <c r="E148">
        <f ca="1">IF(INDIRECT(E$1&amp;"!$K$"&amp;$A148+12)="","",COUNTIFS(INDIRECT(E$1&amp;"!$K"&amp;$A$122+12&amp;":$K"&amp;$A148+12),Resultat!$AA$3+Resultat!$AA$4))</f>
        <v>0</v>
      </c>
      <c r="F148">
        <f ca="1">IF(INDIRECT(F$1&amp;"!$K$"&amp;$A148+12)="","",COUNTIFS(INDIRECT(F$1&amp;"!$K"&amp;$A$122+12&amp;":$K"&amp;$A148+12),Resultat!$AA$3+Resultat!$AA$4))</f>
        <v>3</v>
      </c>
    </row>
    <row r="149" spans="1:6" outlineLevel="1" x14ac:dyDescent="0.2">
      <c r="A149">
        <v>28</v>
      </c>
      <c r="B149">
        <f ca="1">IF(INDIRECT(B$1&amp;"!$K$"&amp;$A149+12)="","",COUNTIFS(INDIRECT(B$1&amp;"!$K"&amp;$A$122+12&amp;":$K"&amp;$A149+12),Resultat!$AA$3+Resultat!$AA$4))</f>
        <v>5</v>
      </c>
      <c r="C149">
        <f ca="1">IF(INDIRECT(C$1&amp;"!$K$"&amp;$A149+12)="","",COUNTIFS(INDIRECT(C$1&amp;"!$K"&amp;$A$122+12&amp;":$K"&amp;$A149+12),Resultat!$AA$3+Resultat!$AA$4))</f>
        <v>6</v>
      </c>
      <c r="D149">
        <f ca="1">IF(INDIRECT(D$1&amp;"!$K$"&amp;$A149+12)="","",COUNTIFS(INDIRECT(D$1&amp;"!$K"&amp;$A$122+12&amp;":$K"&amp;$A149+12),Resultat!$AA$3+Resultat!$AA$4))</f>
        <v>6</v>
      </c>
      <c r="E149">
        <f ca="1">IF(INDIRECT(E$1&amp;"!$K$"&amp;$A149+12)="","",COUNTIFS(INDIRECT(E$1&amp;"!$K"&amp;$A$122+12&amp;":$K"&amp;$A149+12),Resultat!$AA$3+Resultat!$AA$4))</f>
        <v>0</v>
      </c>
      <c r="F149">
        <f ca="1">IF(INDIRECT(F$1&amp;"!$K$"&amp;$A149+12)="","",COUNTIFS(INDIRECT(F$1&amp;"!$K"&amp;$A$122+12&amp;":$K"&amp;$A149+12),Resultat!$AA$3+Resultat!$AA$4))</f>
        <v>3</v>
      </c>
    </row>
    <row r="150" spans="1:6" outlineLevel="1" x14ac:dyDescent="0.2">
      <c r="A150">
        <v>29</v>
      </c>
      <c r="B150">
        <f ca="1">IF(INDIRECT(B$1&amp;"!$K$"&amp;$A150+12)="","",COUNTIFS(INDIRECT(B$1&amp;"!$K"&amp;$A$122+12&amp;":$K"&amp;$A150+12),Resultat!$AA$3+Resultat!$AA$4))</f>
        <v>5</v>
      </c>
      <c r="C150">
        <f ca="1">IF(INDIRECT(C$1&amp;"!$K$"&amp;$A150+12)="","",COUNTIFS(INDIRECT(C$1&amp;"!$K"&amp;$A$122+12&amp;":$K"&amp;$A150+12),Resultat!$AA$3+Resultat!$AA$4))</f>
        <v>7</v>
      </c>
      <c r="D150">
        <f ca="1">IF(INDIRECT(D$1&amp;"!$K$"&amp;$A150+12)="","",COUNTIFS(INDIRECT(D$1&amp;"!$K"&amp;$A$122+12&amp;":$K"&amp;$A150+12),Resultat!$AA$3+Resultat!$AA$4))</f>
        <v>7</v>
      </c>
      <c r="E150">
        <f ca="1">IF(INDIRECT(E$1&amp;"!$K$"&amp;$A150+12)="","",COUNTIFS(INDIRECT(E$1&amp;"!$K"&amp;$A$122+12&amp;":$K"&amp;$A150+12),Resultat!$AA$3+Resultat!$AA$4))</f>
        <v>0</v>
      </c>
      <c r="F150">
        <f ca="1">IF(INDIRECT(F$1&amp;"!$K$"&amp;$A150+12)="","",COUNTIFS(INDIRECT(F$1&amp;"!$K"&amp;$A$122+12&amp;":$K"&amp;$A150+12),Resultat!$AA$3+Resultat!$AA$4))</f>
        <v>3</v>
      </c>
    </row>
    <row r="151" spans="1:6" outlineLevel="1" x14ac:dyDescent="0.2">
      <c r="A151">
        <v>30</v>
      </c>
      <c r="B151">
        <f ca="1">IF(INDIRECT(B$1&amp;"!$K$"&amp;$A151+12)="","",COUNTIFS(INDIRECT(B$1&amp;"!$K"&amp;$A$122+12&amp;":$K"&amp;$A151+12),Resultat!$AA$3+Resultat!$AA$4))</f>
        <v>5</v>
      </c>
      <c r="C151">
        <f ca="1">IF(INDIRECT(C$1&amp;"!$K$"&amp;$A151+12)="","",COUNTIFS(INDIRECT(C$1&amp;"!$K"&amp;$A$122+12&amp;":$K"&amp;$A151+12),Resultat!$AA$3+Resultat!$AA$4))</f>
        <v>7</v>
      </c>
      <c r="D151">
        <f ca="1">IF(INDIRECT(D$1&amp;"!$K$"&amp;$A151+12)="","",COUNTIFS(INDIRECT(D$1&amp;"!$K"&amp;$A$122+12&amp;":$K"&amp;$A151+12),Resultat!$AA$3+Resultat!$AA$4))</f>
        <v>7</v>
      </c>
      <c r="E151">
        <f ca="1">IF(INDIRECT(E$1&amp;"!$K$"&amp;$A151+12)="","",COUNTIFS(INDIRECT(E$1&amp;"!$K"&amp;$A$122+12&amp;":$K"&amp;$A151+12),Resultat!$AA$3+Resultat!$AA$4))</f>
        <v>0</v>
      </c>
      <c r="F151">
        <f ca="1">IF(INDIRECT(F$1&amp;"!$K$"&amp;$A151+12)="","",COUNTIFS(INDIRECT(F$1&amp;"!$K"&amp;$A$122+12&amp;":$K"&amp;$A151+12),Resultat!$AA$3+Resultat!$AA$4))</f>
        <v>3</v>
      </c>
    </row>
    <row r="152" spans="1:6" outlineLevel="1" x14ac:dyDescent="0.2">
      <c r="A152">
        <v>31</v>
      </c>
      <c r="B152">
        <f ca="1">IF(INDIRECT(B$1&amp;"!$K$"&amp;$A152+12)="","",COUNTIFS(INDIRECT(B$1&amp;"!$K"&amp;$A$122+12&amp;":$K"&amp;$A152+12),Resultat!$AA$3+Resultat!$AA$4))</f>
        <v>5</v>
      </c>
      <c r="C152">
        <f ca="1">IF(INDIRECT(C$1&amp;"!$K$"&amp;$A152+12)="","",COUNTIFS(INDIRECT(C$1&amp;"!$K"&amp;$A$122+12&amp;":$K"&amp;$A152+12),Resultat!$AA$3+Resultat!$AA$4))</f>
        <v>7</v>
      </c>
      <c r="D152">
        <f ca="1">IF(INDIRECT(D$1&amp;"!$K$"&amp;$A152+12)="","",COUNTIFS(INDIRECT(D$1&amp;"!$K"&amp;$A$122+12&amp;":$K"&amp;$A152+12),Resultat!$AA$3+Resultat!$AA$4))</f>
        <v>7</v>
      </c>
      <c r="E152">
        <f ca="1">IF(INDIRECT(E$1&amp;"!$K$"&amp;$A152+12)="","",COUNTIFS(INDIRECT(E$1&amp;"!$K"&amp;$A$122+12&amp;":$K"&amp;$A152+12),Resultat!$AA$3+Resultat!$AA$4))</f>
        <v>0</v>
      </c>
      <c r="F152">
        <f ca="1">IF(INDIRECT(F$1&amp;"!$K$"&amp;$A152+12)="","",COUNTIFS(INDIRECT(F$1&amp;"!$K"&amp;$A$122+12&amp;":$K"&amp;$A152+12),Resultat!$AA$3+Resultat!$AA$4))</f>
        <v>3</v>
      </c>
    </row>
    <row r="153" spans="1:6" outlineLevel="1" x14ac:dyDescent="0.2">
      <c r="A153">
        <v>32</v>
      </c>
      <c r="B153" t="str">
        <f ca="1">IF(INDIRECT(B$1&amp;"!$K$"&amp;$A153+12)="","",COUNTIFS(INDIRECT(B$1&amp;"!$K"&amp;$A$122+12&amp;":$K"&amp;$A153+12),Resultat!$AA$3+Resultat!$AA$4))</f>
        <v/>
      </c>
      <c r="C153" t="str">
        <f ca="1">IF(INDIRECT(C$1&amp;"!$K$"&amp;$A153+12)="","",COUNTIFS(INDIRECT(C$1&amp;"!$K"&amp;$A$122+12&amp;":$K"&amp;$A153+12),Resultat!$AA$3+Resultat!$AA$4))</f>
        <v/>
      </c>
      <c r="D153" t="str">
        <f ca="1">IF(INDIRECT(D$1&amp;"!$K$"&amp;$A153+12)="","",COUNTIFS(INDIRECT(D$1&amp;"!$K"&amp;$A$122+12&amp;":$K"&amp;$A153+12),Resultat!$AA$3+Resultat!$AA$4))</f>
        <v/>
      </c>
      <c r="E153" t="str">
        <f ca="1">IF(INDIRECT(E$1&amp;"!$K$"&amp;$A153+12)="","",COUNTIFS(INDIRECT(E$1&amp;"!$K"&amp;$A$122+12&amp;":$K"&amp;$A153+12),Resultat!$AA$3+Resultat!$AA$4))</f>
        <v/>
      </c>
      <c r="F153" t="str">
        <f ca="1">IF(INDIRECT(F$1&amp;"!$K$"&amp;$A153+12)="","",COUNTIFS(INDIRECT(F$1&amp;"!$K"&amp;$A$122+12&amp;":$K"&amp;$A153+12),Resultat!$AA$3+Resultat!$AA$4))</f>
        <v/>
      </c>
    </row>
    <row r="154" spans="1:6" outlineLevel="1" x14ac:dyDescent="0.2">
      <c r="A154">
        <v>33</v>
      </c>
      <c r="B154" t="str">
        <f ca="1">IF(INDIRECT(B$1&amp;"!$K$"&amp;$A154+12)="","",COUNTIFS(INDIRECT(B$1&amp;"!$K"&amp;$A$122+12&amp;":$K"&amp;$A154+12),Resultat!$AA$3+Resultat!$AA$4))</f>
        <v/>
      </c>
      <c r="C154" t="str">
        <f ca="1">IF(INDIRECT(C$1&amp;"!$K$"&amp;$A154+12)="","",COUNTIFS(INDIRECT(C$1&amp;"!$K"&amp;$A$122+12&amp;":$K"&amp;$A154+12),Resultat!$AA$3+Resultat!$AA$4))</f>
        <v/>
      </c>
      <c r="D154" t="str">
        <f ca="1">IF(INDIRECT(D$1&amp;"!$K$"&amp;$A154+12)="","",COUNTIFS(INDIRECT(D$1&amp;"!$K"&amp;$A$122+12&amp;":$K"&amp;$A154+12),Resultat!$AA$3+Resultat!$AA$4))</f>
        <v/>
      </c>
      <c r="E154" t="str">
        <f ca="1">IF(INDIRECT(E$1&amp;"!$K$"&amp;$A154+12)="","",COUNTIFS(INDIRECT(E$1&amp;"!$K"&amp;$A$122+12&amp;":$K"&amp;$A154+12),Resultat!$AA$3+Resultat!$AA$4))</f>
        <v/>
      </c>
      <c r="F154" t="str">
        <f ca="1">IF(INDIRECT(F$1&amp;"!$K$"&amp;$A154+12)="","",COUNTIFS(INDIRECT(F$1&amp;"!$K"&amp;$A$122+12&amp;":$K"&amp;$A154+12),Resultat!$AA$3+Resultat!$AA$4))</f>
        <v/>
      </c>
    </row>
    <row r="155" spans="1:6" outlineLevel="1" x14ac:dyDescent="0.2">
      <c r="A155">
        <v>34</v>
      </c>
      <c r="B155" t="str">
        <f ca="1">IF(INDIRECT(B$1&amp;"!$K$"&amp;$A155+12)="","",COUNTIFS(INDIRECT(B$1&amp;"!$K"&amp;$A$122+12&amp;":$K"&amp;$A155+12),Resultat!$AA$3+Resultat!$AA$4))</f>
        <v/>
      </c>
      <c r="C155" t="str">
        <f ca="1">IF(INDIRECT(C$1&amp;"!$K$"&amp;$A155+12)="","",COUNTIFS(INDIRECT(C$1&amp;"!$K"&amp;$A$122+12&amp;":$K"&amp;$A155+12),Resultat!$AA$3+Resultat!$AA$4))</f>
        <v/>
      </c>
      <c r="D155" t="str">
        <f ca="1">IF(INDIRECT(D$1&amp;"!$K$"&amp;$A155+12)="","",COUNTIFS(INDIRECT(D$1&amp;"!$K"&amp;$A$122+12&amp;":$K"&amp;$A155+12),Resultat!$AA$3+Resultat!$AA$4))</f>
        <v/>
      </c>
      <c r="E155" t="str">
        <f ca="1">IF(INDIRECT(E$1&amp;"!$K$"&amp;$A155+12)="","",COUNTIFS(INDIRECT(E$1&amp;"!$K"&amp;$A$122+12&amp;":$K"&amp;$A155+12),Resultat!$AA$3+Resultat!$AA$4))</f>
        <v/>
      </c>
      <c r="F155" t="str">
        <f ca="1">IF(INDIRECT(F$1&amp;"!$K$"&amp;$A155+12)="","",COUNTIFS(INDIRECT(F$1&amp;"!$K"&amp;$A$122+12&amp;":$K"&amp;$A155+12),Resultat!$AA$3+Resultat!$AA$4))</f>
        <v/>
      </c>
    </row>
    <row r="156" spans="1:6" outlineLevel="1" x14ac:dyDescent="0.2">
      <c r="A156">
        <v>35</v>
      </c>
      <c r="B156" t="str">
        <f ca="1">IF(INDIRECT(B$1&amp;"!$K$"&amp;$A156+12)="","",COUNTIFS(INDIRECT(B$1&amp;"!$K"&amp;$A$122+12&amp;":$K"&amp;$A156+12),Resultat!$AA$3+Resultat!$AA$4))</f>
        <v/>
      </c>
      <c r="C156" t="str">
        <f ca="1">IF(INDIRECT(C$1&amp;"!$K$"&amp;$A156+12)="","",COUNTIFS(INDIRECT(C$1&amp;"!$K"&amp;$A$122+12&amp;":$K"&amp;$A156+12),Resultat!$AA$3+Resultat!$AA$4))</f>
        <v/>
      </c>
      <c r="D156" t="str">
        <f ca="1">IF(INDIRECT(D$1&amp;"!$K$"&amp;$A156+12)="","",COUNTIFS(INDIRECT(D$1&amp;"!$K"&amp;$A$122+12&amp;":$K"&amp;$A156+12),Resultat!$AA$3+Resultat!$AA$4))</f>
        <v/>
      </c>
      <c r="E156" t="str">
        <f ca="1">IF(INDIRECT(E$1&amp;"!$K$"&amp;$A156+12)="","",COUNTIFS(INDIRECT(E$1&amp;"!$K"&amp;$A$122+12&amp;":$K"&amp;$A156+12),Resultat!$AA$3+Resultat!$AA$4))</f>
        <v/>
      </c>
      <c r="F156" t="str">
        <f ca="1">IF(INDIRECT(F$1&amp;"!$K$"&amp;$A156+12)="","",COUNTIFS(INDIRECT(F$1&amp;"!$K"&amp;$A$122+12&amp;":$K"&amp;$A156+12),Resultat!$AA$3+Resultat!$AA$4))</f>
        <v/>
      </c>
    </row>
    <row r="157" spans="1:6" outlineLevel="1" x14ac:dyDescent="0.2">
      <c r="A157">
        <v>36</v>
      </c>
      <c r="B157" t="str">
        <f ca="1">IF(INDIRECT(B$1&amp;"!$K$"&amp;$A157+12)="","",COUNTIFS(INDIRECT(B$1&amp;"!$K"&amp;$A$122+12&amp;":$K"&amp;$A157+12),Resultat!$AA$3+Resultat!$AA$4))</f>
        <v/>
      </c>
      <c r="C157" t="str">
        <f ca="1">IF(INDIRECT(C$1&amp;"!$K$"&amp;$A157+12)="","",COUNTIFS(INDIRECT(C$1&amp;"!$K"&amp;$A$122+12&amp;":$K"&amp;$A157+12),Resultat!$AA$3+Resultat!$AA$4))</f>
        <v/>
      </c>
      <c r="D157" t="str">
        <f ca="1">IF(INDIRECT(D$1&amp;"!$K$"&amp;$A157+12)="","",COUNTIFS(INDIRECT(D$1&amp;"!$K"&amp;$A$122+12&amp;":$K"&amp;$A157+12),Resultat!$AA$3+Resultat!$AA$4))</f>
        <v/>
      </c>
      <c r="E157" t="str">
        <f ca="1">IF(INDIRECT(E$1&amp;"!$K$"&amp;$A157+12)="","",COUNTIFS(INDIRECT(E$1&amp;"!$K"&amp;$A$122+12&amp;":$K"&amp;$A157+12),Resultat!$AA$3+Resultat!$AA$4))</f>
        <v/>
      </c>
      <c r="F157" t="str">
        <f ca="1">IF(INDIRECT(F$1&amp;"!$K$"&amp;$A157+12)="","",COUNTIFS(INDIRECT(F$1&amp;"!$K"&amp;$A$122+12&amp;":$K"&amp;$A157+12),Resultat!$AA$3+Resultat!$AA$4))</f>
        <v/>
      </c>
    </row>
    <row r="158" spans="1:6" outlineLevel="1" x14ac:dyDescent="0.2">
      <c r="A158">
        <v>37</v>
      </c>
      <c r="B158" t="str">
        <f ca="1">IF(INDIRECT(B$1&amp;"!$K$"&amp;$A158+12)="","",COUNTIFS(INDIRECT(B$1&amp;"!$K"&amp;$A$122+12&amp;":$K"&amp;$A158+12),Resultat!$AA$3+Resultat!$AA$4))</f>
        <v/>
      </c>
      <c r="C158" t="str">
        <f ca="1">IF(INDIRECT(C$1&amp;"!$K$"&amp;$A158+12)="","",COUNTIFS(INDIRECT(C$1&amp;"!$K"&amp;$A$122+12&amp;":$K"&amp;$A158+12),Resultat!$AA$3+Resultat!$AA$4))</f>
        <v/>
      </c>
      <c r="D158" t="str">
        <f ca="1">IF(INDIRECT(D$1&amp;"!$K$"&amp;$A158+12)="","",COUNTIFS(INDIRECT(D$1&amp;"!$K"&amp;$A$122+12&amp;":$K"&amp;$A158+12),Resultat!$AA$3+Resultat!$AA$4))</f>
        <v/>
      </c>
      <c r="E158" t="str">
        <f ca="1">IF(INDIRECT(E$1&amp;"!$K$"&amp;$A158+12)="","",COUNTIFS(INDIRECT(E$1&amp;"!$K"&amp;$A$122+12&amp;":$K"&amp;$A158+12),Resultat!$AA$3+Resultat!$AA$4))</f>
        <v/>
      </c>
      <c r="F158" t="str">
        <f ca="1">IF(INDIRECT(F$1&amp;"!$K$"&amp;$A158+12)="","",COUNTIFS(INDIRECT(F$1&amp;"!$K"&amp;$A$122+12&amp;":$K"&amp;$A158+12),Resultat!$AA$3+Resultat!$AA$4))</f>
        <v/>
      </c>
    </row>
    <row r="159" spans="1:6" outlineLevel="1" x14ac:dyDescent="0.2">
      <c r="A159">
        <v>38</v>
      </c>
      <c r="B159" t="str">
        <f ca="1">IF(INDIRECT(B$1&amp;"!$K$"&amp;$A159+12)="","",COUNTIFS(INDIRECT(B$1&amp;"!$K"&amp;$A$122+12&amp;":$K"&amp;$A159+12),Resultat!$AA$3+Resultat!$AA$4))</f>
        <v/>
      </c>
      <c r="C159" t="str">
        <f ca="1">IF(INDIRECT(C$1&amp;"!$K$"&amp;$A159+12)="","",COUNTIFS(INDIRECT(C$1&amp;"!$K"&amp;$A$122+12&amp;":$K"&amp;$A159+12),Resultat!$AA$3+Resultat!$AA$4))</f>
        <v/>
      </c>
      <c r="D159" t="str">
        <f ca="1">IF(INDIRECT(D$1&amp;"!$K$"&amp;$A159+12)="","",COUNTIFS(INDIRECT(D$1&amp;"!$K"&amp;$A$122+12&amp;":$K"&amp;$A159+12),Resultat!$AA$3+Resultat!$AA$4))</f>
        <v/>
      </c>
      <c r="E159" t="str">
        <f ca="1">IF(INDIRECT(E$1&amp;"!$K$"&amp;$A159+12)="","",COUNTIFS(INDIRECT(E$1&amp;"!$K"&amp;$A$122+12&amp;":$K"&amp;$A159+12),Resultat!$AA$3+Resultat!$AA$4))</f>
        <v/>
      </c>
      <c r="F159" t="str">
        <f ca="1">IF(INDIRECT(F$1&amp;"!$K$"&amp;$A159+12)="","",COUNTIFS(INDIRECT(F$1&amp;"!$K"&amp;$A$122+12&amp;":$K"&amp;$A159+12),Resultat!$AA$3+Resultat!$AA$4))</f>
        <v/>
      </c>
    </row>
    <row r="160" spans="1:6" outlineLevel="1" x14ac:dyDescent="0.2">
      <c r="A160">
        <v>39</v>
      </c>
      <c r="B160" t="str">
        <f ca="1">IF(INDIRECT(B$1&amp;"!$K$"&amp;$A160+12)="","",COUNTIFS(INDIRECT(B$1&amp;"!$K"&amp;$A$122+12&amp;":$K"&amp;$A160+12),Resultat!$AA$3+Resultat!$AA$4))</f>
        <v/>
      </c>
      <c r="C160" t="str">
        <f ca="1">IF(INDIRECT(C$1&amp;"!$K$"&amp;$A160+12)="","",COUNTIFS(INDIRECT(C$1&amp;"!$K"&amp;$A$122+12&amp;":$K"&amp;$A160+12),Resultat!$AA$3+Resultat!$AA$4))</f>
        <v/>
      </c>
      <c r="D160" t="str">
        <f ca="1">IF(INDIRECT(D$1&amp;"!$K$"&amp;$A160+12)="","",COUNTIFS(INDIRECT(D$1&amp;"!$K"&amp;$A$122+12&amp;":$K"&amp;$A160+12),Resultat!$AA$3+Resultat!$AA$4))</f>
        <v/>
      </c>
      <c r="E160" t="str">
        <f ca="1">IF(INDIRECT(E$1&amp;"!$K$"&amp;$A160+12)="","",COUNTIFS(INDIRECT(E$1&amp;"!$K"&amp;$A$122+12&amp;":$K"&amp;$A160+12),Resultat!$AA$3+Resultat!$AA$4))</f>
        <v/>
      </c>
      <c r="F160" t="str">
        <f ca="1">IF(INDIRECT(F$1&amp;"!$K$"&amp;$A160+12)="","",COUNTIFS(INDIRECT(F$1&amp;"!$K"&amp;$A$122+12&amp;":$K"&amp;$A160+12),Resultat!$AA$3+Resultat!$AA$4))</f>
        <v/>
      </c>
    </row>
    <row r="161" spans="1:9" outlineLevel="1" x14ac:dyDescent="0.2">
      <c r="A161">
        <v>40</v>
      </c>
      <c r="B161" t="str">
        <f ca="1">IF(INDIRECT(B$1&amp;"!$K$"&amp;$A161+12)="","",COUNTIFS(INDIRECT(B$1&amp;"!$K"&amp;$A$122+12&amp;":$K"&amp;$A161+12),Resultat!$AA$3+Resultat!$AA$4))</f>
        <v/>
      </c>
      <c r="C161" t="str">
        <f ca="1">IF(INDIRECT(C$1&amp;"!$K$"&amp;$A161+12)="","",COUNTIFS(INDIRECT(C$1&amp;"!$K"&amp;$A$122+12&amp;":$K"&amp;$A161+12),Resultat!$AA$3+Resultat!$AA$4))</f>
        <v/>
      </c>
      <c r="D161" t="str">
        <f ca="1">IF(INDIRECT(D$1&amp;"!$K$"&amp;$A161+12)="","",COUNTIFS(INDIRECT(D$1&amp;"!$K"&amp;$A$122+12&amp;":$K"&amp;$A161+12),Resultat!$AA$3+Resultat!$AA$4))</f>
        <v/>
      </c>
      <c r="E161" t="str">
        <f ca="1">IF(INDIRECT(E$1&amp;"!$K$"&amp;$A161+12)="","",COUNTIFS(INDIRECT(E$1&amp;"!$K"&amp;$A$122+12&amp;":$K"&amp;$A161+12),Resultat!$AA$3+Resultat!$AA$4))</f>
        <v/>
      </c>
      <c r="F161" t="str">
        <f ca="1">IF(INDIRECT(F$1&amp;"!$K$"&amp;$A161+12)="","",COUNTIFS(INDIRECT(F$1&amp;"!$K"&amp;$A$122+12&amp;":$K"&amp;$A161+12),Resultat!$AA$3+Resultat!$AA$4))</f>
        <v/>
      </c>
    </row>
    <row r="162" spans="1:9" outlineLevel="1" x14ac:dyDescent="0.2">
      <c r="A162">
        <v>41</v>
      </c>
      <c r="B162" t="str">
        <f ca="1">IF(INDIRECT(B$1&amp;"!$K$"&amp;$A162+12)="","",COUNTIFS(INDIRECT(B$1&amp;"!$K"&amp;$A$122+12&amp;":$K"&amp;$A162+12),Resultat!$AA$3+Resultat!$AA$4))</f>
        <v/>
      </c>
      <c r="C162" t="str">
        <f ca="1">IF(INDIRECT(C$1&amp;"!$K$"&amp;$A162+12)="","",COUNTIFS(INDIRECT(C$1&amp;"!$K"&amp;$A$122+12&amp;":$K"&amp;$A162+12),Resultat!$AA$3+Resultat!$AA$4))</f>
        <v/>
      </c>
      <c r="D162" t="str">
        <f ca="1">IF(INDIRECT(D$1&amp;"!$K$"&amp;$A162+12)="","",COUNTIFS(INDIRECT(D$1&amp;"!$K"&amp;$A$122+12&amp;":$K"&amp;$A162+12),Resultat!$AA$3+Resultat!$AA$4))</f>
        <v/>
      </c>
      <c r="E162" t="str">
        <f ca="1">IF(INDIRECT(E$1&amp;"!$K$"&amp;$A162+12)="","",COUNTIFS(INDIRECT(E$1&amp;"!$K"&amp;$A$122+12&amp;":$K"&amp;$A162+12),Resultat!$AA$3+Resultat!$AA$4))</f>
        <v/>
      </c>
      <c r="F162" t="str">
        <f ca="1">IF(INDIRECT(F$1&amp;"!$K$"&amp;$A162+12)="","",COUNTIFS(INDIRECT(F$1&amp;"!$K"&amp;$A$122+12&amp;":$K"&amp;$A162+12),Resultat!$AA$3+Resultat!$AA$4))</f>
        <v/>
      </c>
    </row>
    <row r="163" spans="1:9" outlineLevel="1" x14ac:dyDescent="0.2">
      <c r="A163">
        <v>42</v>
      </c>
      <c r="B163" t="str">
        <f ca="1">IF(INDIRECT(B$1&amp;"!$K$"&amp;$A163+12)="","",COUNTIFS(INDIRECT(B$1&amp;"!$K"&amp;$A$122+12&amp;":$K"&amp;$A163+12),Resultat!$AA$3+Resultat!$AA$4))</f>
        <v/>
      </c>
      <c r="C163" t="str">
        <f ca="1">IF(INDIRECT(C$1&amp;"!$K$"&amp;$A163+12)="","",COUNTIFS(INDIRECT(C$1&amp;"!$K"&amp;$A$122+12&amp;":$K"&amp;$A163+12),Resultat!$AA$3+Resultat!$AA$4))</f>
        <v/>
      </c>
      <c r="D163" t="str">
        <f ca="1">IF(INDIRECT(D$1&amp;"!$K$"&amp;$A163+12)="","",COUNTIFS(INDIRECT(D$1&amp;"!$K"&amp;$A$122+12&amp;":$K"&amp;$A163+12),Resultat!$AA$3+Resultat!$AA$4))</f>
        <v/>
      </c>
      <c r="E163" t="str">
        <f ca="1">IF(INDIRECT(E$1&amp;"!$K$"&amp;$A163+12)="","",COUNTIFS(INDIRECT(E$1&amp;"!$K"&amp;$A$122+12&amp;":$K"&amp;$A163+12),Resultat!$AA$3+Resultat!$AA$4))</f>
        <v/>
      </c>
      <c r="F163" t="str">
        <f ca="1">IF(INDIRECT(F$1&amp;"!$K$"&amp;$A163+12)="","",COUNTIFS(INDIRECT(F$1&amp;"!$K"&amp;$A$122+12&amp;":$K"&amp;$A163+12),Resultat!$AA$3+Resultat!$AA$4))</f>
        <v/>
      </c>
    </row>
    <row r="164" spans="1:9" outlineLevel="1" x14ac:dyDescent="0.2">
      <c r="A164">
        <v>43</v>
      </c>
      <c r="B164" t="str">
        <f ca="1">IF(INDIRECT(B$1&amp;"!$K$"&amp;$A164+12)="","",COUNTIFS(INDIRECT(B$1&amp;"!$K"&amp;$A$122+12&amp;":$K"&amp;$A164+12),Resultat!$AA$3+Resultat!$AA$4))</f>
        <v/>
      </c>
      <c r="C164" t="str">
        <f ca="1">IF(INDIRECT(C$1&amp;"!$K$"&amp;$A164+12)="","",COUNTIFS(INDIRECT(C$1&amp;"!$K"&amp;$A$122+12&amp;":$K"&amp;$A164+12),Resultat!$AA$3+Resultat!$AA$4))</f>
        <v/>
      </c>
      <c r="D164" t="str">
        <f ca="1">IF(INDIRECT(D$1&amp;"!$K$"&amp;$A164+12)="","",COUNTIFS(INDIRECT(D$1&amp;"!$K"&amp;$A$122+12&amp;":$K"&amp;$A164+12),Resultat!$AA$3+Resultat!$AA$4))</f>
        <v/>
      </c>
      <c r="E164" t="str">
        <f ca="1">IF(INDIRECT(E$1&amp;"!$K$"&amp;$A164+12)="","",COUNTIFS(INDIRECT(E$1&amp;"!$K"&amp;$A$122+12&amp;":$K"&amp;$A164+12),Resultat!$AA$3+Resultat!$AA$4))</f>
        <v/>
      </c>
      <c r="F164" t="str">
        <f ca="1">IF(INDIRECT(F$1&amp;"!$K$"&amp;$A164+12)="","",COUNTIFS(INDIRECT(F$1&amp;"!$K"&amp;$A$122+12&amp;":$K"&amp;$A164+12),Resultat!$AA$3+Resultat!$AA$4))</f>
        <v/>
      </c>
    </row>
    <row r="165" spans="1:9" outlineLevel="1" x14ac:dyDescent="0.2">
      <c r="A165">
        <v>44</v>
      </c>
      <c r="B165" t="str">
        <f ca="1">IF(INDIRECT(B$1&amp;"!$K$"&amp;$A165+12)="","",COUNTIFS(INDIRECT(B$1&amp;"!$K"&amp;$A$122+12&amp;":$K"&amp;$A165+12),Resultat!$AA$3+Resultat!$AA$4))</f>
        <v/>
      </c>
      <c r="C165" t="str">
        <f ca="1">IF(INDIRECT(C$1&amp;"!$K$"&amp;$A165+12)="","",COUNTIFS(INDIRECT(C$1&amp;"!$K"&amp;$A$122+12&amp;":$K"&amp;$A165+12),Resultat!$AA$3+Resultat!$AA$4))</f>
        <v/>
      </c>
      <c r="D165" t="str">
        <f ca="1">IF(INDIRECT(D$1&amp;"!$K$"&amp;$A165+12)="","",COUNTIFS(INDIRECT(D$1&amp;"!$K"&amp;$A$122+12&amp;":$K"&amp;$A165+12),Resultat!$AA$3+Resultat!$AA$4))</f>
        <v/>
      </c>
      <c r="E165" t="str">
        <f ca="1">IF(INDIRECT(E$1&amp;"!$K$"&amp;$A165+12)="","",COUNTIFS(INDIRECT(E$1&amp;"!$K"&amp;$A$122+12&amp;":$K"&amp;$A165+12),Resultat!$AA$3+Resultat!$AA$4))</f>
        <v/>
      </c>
      <c r="F165" t="str">
        <f ca="1">IF(INDIRECT(F$1&amp;"!$K$"&amp;$A165+12)="","",COUNTIFS(INDIRECT(F$1&amp;"!$K"&amp;$A$122+12&amp;":$K"&amp;$A165+12),Resultat!$AA$3+Resultat!$AA$4))</f>
        <v/>
      </c>
    </row>
    <row r="166" spans="1:9" outlineLevel="1" x14ac:dyDescent="0.2">
      <c r="A166">
        <v>45</v>
      </c>
      <c r="B166" t="str">
        <f ca="1">IF(INDIRECT(B$1&amp;"!$K$"&amp;$A166+12)="","",COUNTIFS(INDIRECT(B$1&amp;"!$K"&amp;$A$122+12&amp;":$K"&amp;$A166+12),Resultat!$AA$3+Resultat!$AA$4))</f>
        <v/>
      </c>
      <c r="C166" t="str">
        <f ca="1">IF(INDIRECT(C$1&amp;"!$K$"&amp;$A166+12)="","",COUNTIFS(INDIRECT(C$1&amp;"!$K"&amp;$A$122+12&amp;":$K"&amp;$A166+12),Resultat!$AA$3+Resultat!$AA$4))</f>
        <v/>
      </c>
      <c r="D166" t="str">
        <f ca="1">IF(INDIRECT(D$1&amp;"!$K$"&amp;$A166+12)="","",COUNTIFS(INDIRECT(D$1&amp;"!$K"&amp;$A$122+12&amp;":$K"&amp;$A166+12),Resultat!$AA$3+Resultat!$AA$4))</f>
        <v/>
      </c>
      <c r="E166" t="str">
        <f ca="1">IF(INDIRECT(E$1&amp;"!$K$"&amp;$A166+12)="","",COUNTIFS(INDIRECT(E$1&amp;"!$K"&amp;$A$122+12&amp;":$K"&amp;$A166+12),Resultat!$AA$3+Resultat!$AA$4))</f>
        <v/>
      </c>
      <c r="F166" t="str">
        <f ca="1">IF(INDIRECT(F$1&amp;"!$K$"&amp;$A166+12)="","",COUNTIFS(INDIRECT(F$1&amp;"!$K"&amp;$A$122+12&amp;":$K"&amp;$A166+12),Resultat!$AA$3+Resultat!$AA$4))</f>
        <v/>
      </c>
    </row>
    <row r="167" spans="1:9" outlineLevel="1" x14ac:dyDescent="0.2">
      <c r="A167">
        <v>46</v>
      </c>
      <c r="B167" t="str">
        <f ca="1">IF(INDIRECT(B$1&amp;"!$K$"&amp;$A167+12)="","",COUNTIFS(INDIRECT(B$1&amp;"!$K"&amp;$A$122+12&amp;":$K"&amp;$A167+12),Resultat!$AA$3+Resultat!$AA$4))</f>
        <v/>
      </c>
      <c r="C167" t="str">
        <f ca="1">IF(INDIRECT(C$1&amp;"!$K$"&amp;$A167+12)="","",COUNTIFS(INDIRECT(C$1&amp;"!$K"&amp;$A$122+12&amp;":$K"&amp;$A167+12),Resultat!$AA$3+Resultat!$AA$4))</f>
        <v/>
      </c>
      <c r="D167" t="str">
        <f ca="1">IF(INDIRECT(D$1&amp;"!$K$"&amp;$A167+12)="","",COUNTIFS(INDIRECT(D$1&amp;"!$K"&amp;$A$122+12&amp;":$K"&amp;$A167+12),Resultat!$AA$3+Resultat!$AA$4))</f>
        <v/>
      </c>
      <c r="E167" t="str">
        <f ca="1">IF(INDIRECT(E$1&amp;"!$K$"&amp;$A167+12)="","",COUNTIFS(INDIRECT(E$1&amp;"!$K"&amp;$A$122+12&amp;":$K"&amp;$A167+12),Resultat!$AA$3+Resultat!$AA$4))</f>
        <v/>
      </c>
      <c r="F167" t="str">
        <f ca="1">IF(INDIRECT(F$1&amp;"!$K$"&amp;$A167+12)="","",COUNTIFS(INDIRECT(F$1&amp;"!$K"&amp;$A$122+12&amp;":$K"&amp;$A167+12),Resultat!$AA$3+Resultat!$AA$4))</f>
        <v/>
      </c>
    </row>
    <row r="168" spans="1:9" outlineLevel="1" x14ac:dyDescent="0.2">
      <c r="A168">
        <v>47</v>
      </c>
      <c r="B168" t="str">
        <f ca="1">IF(INDIRECT(B$1&amp;"!$K$"&amp;$A168+12)="","",COUNTIFS(INDIRECT(B$1&amp;"!$K"&amp;$A$122+12&amp;":$K"&amp;$A168+12),Resultat!$AA$3+Resultat!$AA$4))</f>
        <v/>
      </c>
      <c r="C168" t="str">
        <f ca="1">IF(INDIRECT(C$1&amp;"!$K$"&amp;$A168+12)="","",COUNTIFS(INDIRECT(C$1&amp;"!$K"&amp;$A$122+12&amp;":$K"&amp;$A168+12),Resultat!$AA$3+Resultat!$AA$4))</f>
        <v/>
      </c>
      <c r="D168" t="str">
        <f ca="1">IF(INDIRECT(D$1&amp;"!$K$"&amp;$A168+12)="","",COUNTIFS(INDIRECT(D$1&amp;"!$K"&amp;$A$122+12&amp;":$K"&amp;$A168+12),Resultat!$AA$3+Resultat!$AA$4))</f>
        <v/>
      </c>
      <c r="E168" t="str">
        <f ca="1">IF(INDIRECT(E$1&amp;"!$K$"&amp;$A168+12)="","",COUNTIFS(INDIRECT(E$1&amp;"!$K"&amp;$A$122+12&amp;":$K"&amp;$A168+12),Resultat!$AA$3+Resultat!$AA$4))</f>
        <v/>
      </c>
      <c r="F168" t="str">
        <f ca="1">IF(INDIRECT(F$1&amp;"!$K$"&amp;$A168+12)="","",COUNTIFS(INDIRECT(F$1&amp;"!$K"&amp;$A$122+12&amp;":$K"&amp;$A168+12),Resultat!$AA$3+Resultat!$AA$4))</f>
        <v/>
      </c>
    </row>
    <row r="169" spans="1:9" outlineLevel="1" x14ac:dyDescent="0.2">
      <c r="A169">
        <v>48</v>
      </c>
      <c r="B169" t="str">
        <f ca="1">IF(INDIRECT(B$1&amp;"!$K$"&amp;$A169+12)="","",COUNTIFS(INDIRECT(B$1&amp;"!$K"&amp;$A$122+12&amp;":$K"&amp;$A169+12),Resultat!$AA$3+Resultat!$AA$4))</f>
        <v/>
      </c>
      <c r="C169" t="str">
        <f ca="1">IF(INDIRECT(C$1&amp;"!$K$"&amp;$A169+12)="","",COUNTIFS(INDIRECT(C$1&amp;"!$K"&amp;$A$122+12&amp;":$K"&amp;$A169+12),Resultat!$AA$3+Resultat!$AA$4))</f>
        <v/>
      </c>
      <c r="D169" t="str">
        <f ca="1">IF(INDIRECT(D$1&amp;"!$K$"&amp;$A169+12)="","",COUNTIFS(INDIRECT(D$1&amp;"!$K"&amp;$A$122+12&amp;":$K"&amp;$A169+12),Resultat!$AA$3+Resultat!$AA$4))</f>
        <v/>
      </c>
      <c r="E169" t="str">
        <f ca="1">IF(INDIRECT(E$1&amp;"!$K$"&amp;$A169+12)="","",COUNTIFS(INDIRECT(E$1&amp;"!$K"&amp;$A$122+12&amp;":$K"&amp;$A169+12),Resultat!$AA$3+Resultat!$AA$4))</f>
        <v/>
      </c>
      <c r="F169" t="str">
        <f ca="1">IF(INDIRECT(F$1&amp;"!$K$"&amp;$A169+12)="","",COUNTIFS(INDIRECT(F$1&amp;"!$K"&amp;$A$122+12&amp;":$K"&amp;$A169+12),Resultat!$AA$3+Resultat!$AA$4))</f>
        <v/>
      </c>
    </row>
    <row r="170" spans="1:9" outlineLevel="1" x14ac:dyDescent="0.2">
      <c r="A170">
        <v>49</v>
      </c>
      <c r="B170" t="str">
        <f ca="1">IF(INDIRECT(B$1&amp;"!$K$"&amp;$A170+12)="","",COUNTIFS(INDIRECT(B$1&amp;"!$K"&amp;$A$122+12&amp;":$K"&amp;$A170+12),Resultat!$AA$3+Resultat!$AA$4))</f>
        <v/>
      </c>
      <c r="C170" t="str">
        <f ca="1">IF(INDIRECT(C$1&amp;"!$K$"&amp;$A170+12)="","",COUNTIFS(INDIRECT(C$1&amp;"!$K"&amp;$A$122+12&amp;":$K"&amp;$A170+12),Resultat!$AA$3+Resultat!$AA$4))</f>
        <v/>
      </c>
      <c r="D170" t="str">
        <f ca="1">IF(INDIRECT(D$1&amp;"!$K$"&amp;$A170+12)="","",COUNTIFS(INDIRECT(D$1&amp;"!$K"&amp;$A$122+12&amp;":$K"&amp;$A170+12),Resultat!$AA$3+Resultat!$AA$4))</f>
        <v/>
      </c>
      <c r="E170" t="str">
        <f ca="1">IF(INDIRECT(E$1&amp;"!$K$"&amp;$A170+12)="","",COUNTIFS(INDIRECT(E$1&amp;"!$K"&amp;$A$122+12&amp;":$K"&amp;$A170+12),Resultat!$AA$3+Resultat!$AA$4))</f>
        <v/>
      </c>
      <c r="F170" t="str">
        <f ca="1">IF(INDIRECT(F$1&amp;"!$K$"&amp;$A170+12)="","",COUNTIFS(INDIRECT(F$1&amp;"!$K"&amp;$A$122+12&amp;":$K"&amp;$A170+12),Resultat!$AA$3+Resultat!$AA$4))</f>
        <v/>
      </c>
    </row>
    <row r="171" spans="1:9" outlineLevel="1" x14ac:dyDescent="0.2">
      <c r="A171">
        <v>50</v>
      </c>
      <c r="B171" t="str">
        <f ca="1">IF(INDIRECT(B$1&amp;"!$K$"&amp;$A171+12)="","",COUNTIFS(INDIRECT(B$1&amp;"!$K"&amp;$A$122+12&amp;":$K"&amp;$A171+12),Resultat!$AA$3+Resultat!$AA$4))</f>
        <v/>
      </c>
      <c r="C171" t="str">
        <f ca="1">IF(INDIRECT(C$1&amp;"!$K$"&amp;$A171+12)="","",COUNTIFS(INDIRECT(C$1&amp;"!$K"&amp;$A$122+12&amp;":$K"&amp;$A171+12),Resultat!$AA$3+Resultat!$AA$4))</f>
        <v/>
      </c>
      <c r="D171" t="str">
        <f ca="1">IF(INDIRECT(D$1&amp;"!$K$"&amp;$A171+12)="","",COUNTIFS(INDIRECT(D$1&amp;"!$K"&amp;$A$122+12&amp;":$K"&amp;$A171+12),Resultat!$AA$3+Resultat!$AA$4))</f>
        <v/>
      </c>
      <c r="E171" t="str">
        <f ca="1">IF(INDIRECT(E$1&amp;"!$K$"&amp;$A171+12)="","",COUNTIFS(INDIRECT(E$1&amp;"!$K"&amp;$A$122+12&amp;":$K"&amp;$A171+12),Resultat!$AA$3+Resultat!$AA$4))</f>
        <v/>
      </c>
      <c r="F171" t="str">
        <f ca="1">IF(INDIRECT(F$1&amp;"!$K$"&amp;$A171+12)="","",COUNTIFS(INDIRECT(F$1&amp;"!$K"&amp;$A$122+12&amp;":$K"&amp;$A171+12),Resultat!$AA$3+Resultat!$AA$4))</f>
        <v/>
      </c>
    </row>
    <row r="172" spans="1:9" outlineLevel="1" x14ac:dyDescent="0.2">
      <c r="A172">
        <v>51</v>
      </c>
      <c r="B172" t="str">
        <f ca="1">IF(INDIRECT(B$1&amp;"!$K$"&amp;$A172+12)="","",COUNTIFS(INDIRECT(B$1&amp;"!$K"&amp;$A$122+12&amp;":$K"&amp;$A172+12),Resultat!$AA$3+Resultat!$AA$4))</f>
        <v/>
      </c>
      <c r="C172" t="str">
        <f ca="1">IF(INDIRECT(C$1&amp;"!$K$"&amp;$A172+12)="","",COUNTIFS(INDIRECT(C$1&amp;"!$K"&amp;$A$122+12&amp;":$K"&amp;$A172+12),Resultat!$AA$3+Resultat!$AA$4))</f>
        <v/>
      </c>
      <c r="D172" t="str">
        <f ca="1">IF(INDIRECT(D$1&amp;"!$K$"&amp;$A172+12)="","",COUNTIFS(INDIRECT(D$1&amp;"!$K"&amp;$A$122+12&amp;":$K"&amp;$A172+12),Resultat!$AA$3+Resultat!$AA$4))</f>
        <v/>
      </c>
      <c r="E172" t="str">
        <f ca="1">IF(INDIRECT(E$1&amp;"!$K$"&amp;$A172+12)="","",COUNTIFS(INDIRECT(E$1&amp;"!$K"&amp;$A$122+12&amp;":$K"&amp;$A172+12),Resultat!$AA$3+Resultat!$AA$4))</f>
        <v/>
      </c>
      <c r="F172" t="str">
        <f ca="1">IF(INDIRECT(F$1&amp;"!$K$"&amp;$A172+12)="","",COUNTIFS(INDIRECT(F$1&amp;"!$K"&amp;$A$122+12&amp;":$K"&amp;$A172+12),Resultat!$AA$3+Resultat!$AA$4))</f>
        <v/>
      </c>
    </row>
    <row r="175" spans="1:9" x14ac:dyDescent="0.2">
      <c r="B175" t="s">
        <v>101</v>
      </c>
    </row>
    <row r="176" spans="1:9" outlineLevel="1" x14ac:dyDescent="0.2">
      <c r="A176" t="s">
        <v>102</v>
      </c>
      <c r="B176" s="73" t="str">
        <f>B$1</f>
        <v>Jocke</v>
      </c>
      <c r="C176" s="73" t="str">
        <f t="shared" ref="C176:F176" si="122">C$1</f>
        <v>Markus</v>
      </c>
      <c r="D176" s="73" t="str">
        <f t="shared" si="122"/>
        <v>Rickard</v>
      </c>
      <c r="E176" s="73" t="str">
        <f t="shared" si="122"/>
        <v>Tomas</v>
      </c>
      <c r="F176" s="73" t="str">
        <f t="shared" si="122"/>
        <v>Kalle</v>
      </c>
      <c r="G176" s="73"/>
      <c r="H176" s="73"/>
      <c r="I176" s="73"/>
    </row>
    <row r="177" spans="1:6" outlineLevel="1" x14ac:dyDescent="0.2">
      <c r="A177">
        <v>1</v>
      </c>
      <c r="B177">
        <f ca="1">IF(INDIRECT(B$1&amp;"!$K$"&amp;$A177+12)="","",COUNTIFS(INDIRECT(B$1&amp;"!$K"&amp;$A$177+12&amp;":$K"&amp;$A177+12),Resultat!$AA$3))</f>
        <v>1</v>
      </c>
      <c r="C177">
        <f ca="1">IF(INDIRECT(C$1&amp;"!$K$"&amp;$A177+12)="","",COUNTIFS(INDIRECT(C$1&amp;"!$K"&amp;$A$177+12&amp;":$K"&amp;$A177+12),Resultat!$AA$3))</f>
        <v>0</v>
      </c>
      <c r="D177">
        <f ca="1">IF(INDIRECT(D$1&amp;"!$K$"&amp;$A177+12)="","",COUNTIFS(INDIRECT(D$1&amp;"!$K"&amp;$A$177+12&amp;":$K"&amp;$A177+12),Resultat!$AA$3))</f>
        <v>0</v>
      </c>
      <c r="E177">
        <f ca="1">IF(INDIRECT(E$1&amp;"!$K$"&amp;$A177+12)="","",COUNTIFS(INDIRECT(E$1&amp;"!$K"&amp;$A$177+12&amp;":$K"&amp;$A177+12),Resultat!$AA$3))</f>
        <v>1</v>
      </c>
      <c r="F177">
        <f ca="1">IF(INDIRECT(F$1&amp;"!$K$"&amp;$A177+12)="","",COUNTIFS(INDIRECT(F$1&amp;"!$K"&amp;$A$177+12&amp;":$K"&amp;$A177+12),Resultat!$AA$3))</f>
        <v>1</v>
      </c>
    </row>
    <row r="178" spans="1:6" outlineLevel="1" x14ac:dyDescent="0.2">
      <c r="A178">
        <v>2</v>
      </c>
      <c r="B178">
        <f ca="1">IF(INDIRECT(B$1&amp;"!$K$"&amp;$A178+12)="","",COUNTIFS(INDIRECT(B$1&amp;"!$K"&amp;$A$177+12&amp;":$K"&amp;$A178+12),Resultat!$AA$3))</f>
        <v>1</v>
      </c>
      <c r="C178">
        <f ca="1">IF(INDIRECT(C$1&amp;"!$K$"&amp;$A178+12)="","",COUNTIFS(INDIRECT(C$1&amp;"!$K"&amp;$A$177+12&amp;":$K"&amp;$A178+12),Resultat!$AA$3))</f>
        <v>0</v>
      </c>
      <c r="D178">
        <f ca="1">IF(INDIRECT(D$1&amp;"!$K$"&amp;$A178+12)="","",COUNTIFS(INDIRECT(D$1&amp;"!$K"&amp;$A$177+12&amp;":$K"&amp;$A178+12),Resultat!$AA$3))</f>
        <v>0</v>
      </c>
      <c r="E178">
        <f ca="1">IF(INDIRECT(E$1&amp;"!$K$"&amp;$A178+12)="","",COUNTIFS(INDIRECT(E$1&amp;"!$K"&amp;$A$177+12&amp;":$K"&amp;$A178+12),Resultat!$AA$3))</f>
        <v>1</v>
      </c>
      <c r="F178">
        <f ca="1">IF(INDIRECT(F$1&amp;"!$K$"&amp;$A178+12)="","",COUNTIFS(INDIRECT(F$1&amp;"!$K"&amp;$A$177+12&amp;":$K"&amp;$A178+12),Resultat!$AA$3))</f>
        <v>1</v>
      </c>
    </row>
    <row r="179" spans="1:6" outlineLevel="1" x14ac:dyDescent="0.2">
      <c r="A179">
        <v>3</v>
      </c>
      <c r="B179">
        <f ca="1">IF(INDIRECT(B$1&amp;"!$K$"&amp;$A179+12)="","",COUNTIFS(INDIRECT(B$1&amp;"!$K"&amp;$A$177+12&amp;":$K"&amp;$A179+12),Resultat!$AA$3))</f>
        <v>1</v>
      </c>
      <c r="C179">
        <f ca="1">IF(INDIRECT(C$1&amp;"!$K$"&amp;$A179+12)="","",COUNTIFS(INDIRECT(C$1&amp;"!$K"&amp;$A$177+12&amp;":$K"&amp;$A179+12),Resultat!$AA$3))</f>
        <v>0</v>
      </c>
      <c r="D179">
        <f ca="1">IF(INDIRECT(D$1&amp;"!$K$"&amp;$A179+12)="","",COUNTIFS(INDIRECT(D$1&amp;"!$K"&amp;$A$177+12&amp;":$K"&amp;$A179+12),Resultat!$AA$3))</f>
        <v>0</v>
      </c>
      <c r="E179">
        <f ca="1">IF(INDIRECT(E$1&amp;"!$K$"&amp;$A179+12)="","",COUNTIFS(INDIRECT(E$1&amp;"!$K"&amp;$A$177+12&amp;":$K"&amp;$A179+12),Resultat!$AA$3))</f>
        <v>1</v>
      </c>
      <c r="F179">
        <f ca="1">IF(INDIRECT(F$1&amp;"!$K$"&amp;$A179+12)="","",COUNTIFS(INDIRECT(F$1&amp;"!$K"&amp;$A$177+12&amp;":$K"&amp;$A179+12),Resultat!$AA$3))</f>
        <v>1</v>
      </c>
    </row>
    <row r="180" spans="1:6" outlineLevel="1" x14ac:dyDescent="0.2">
      <c r="A180">
        <v>4</v>
      </c>
      <c r="B180">
        <f ca="1">IF(INDIRECT(B$1&amp;"!$K$"&amp;$A180+12)="","",COUNTIFS(INDIRECT(B$1&amp;"!$K"&amp;$A$177+12&amp;":$K"&amp;$A180+12),Resultat!$AA$3))</f>
        <v>1</v>
      </c>
      <c r="C180">
        <f ca="1">IF(INDIRECT(C$1&amp;"!$K$"&amp;$A180+12)="","",COUNTIFS(INDIRECT(C$1&amp;"!$K"&amp;$A$177+12&amp;":$K"&amp;$A180+12),Resultat!$AA$3))</f>
        <v>0</v>
      </c>
      <c r="D180">
        <f ca="1">IF(INDIRECT(D$1&amp;"!$K$"&amp;$A180+12)="","",COUNTIFS(INDIRECT(D$1&amp;"!$K"&amp;$A$177+12&amp;":$K"&amp;$A180+12),Resultat!$AA$3))</f>
        <v>0</v>
      </c>
      <c r="E180">
        <f ca="1">IF(INDIRECT(E$1&amp;"!$K$"&amp;$A180+12)="","",COUNTIFS(INDIRECT(E$1&amp;"!$K"&amp;$A$177+12&amp;":$K"&amp;$A180+12),Resultat!$AA$3))</f>
        <v>1</v>
      </c>
      <c r="F180">
        <f ca="1">IF(INDIRECT(F$1&amp;"!$K$"&amp;$A180+12)="","",COUNTIFS(INDIRECT(F$1&amp;"!$K"&amp;$A$177+12&amp;":$K"&amp;$A180+12),Resultat!$AA$3))</f>
        <v>1</v>
      </c>
    </row>
    <row r="181" spans="1:6" outlineLevel="1" x14ac:dyDescent="0.2">
      <c r="A181">
        <v>5</v>
      </c>
      <c r="B181">
        <f ca="1">IF(INDIRECT(B$1&amp;"!$K$"&amp;$A181+12)="","",COUNTIFS(INDIRECT(B$1&amp;"!$K"&amp;$A$177+12&amp;":$K"&amp;$A181+12),Resultat!$AA$3))</f>
        <v>1</v>
      </c>
      <c r="C181">
        <f ca="1">IF(INDIRECT(C$1&amp;"!$K$"&amp;$A181+12)="","",COUNTIFS(INDIRECT(C$1&amp;"!$K"&amp;$A$177+12&amp;":$K"&amp;$A181+12),Resultat!$AA$3))</f>
        <v>0</v>
      </c>
      <c r="D181">
        <f ca="1">IF(INDIRECT(D$1&amp;"!$K$"&amp;$A181+12)="","",COUNTIFS(INDIRECT(D$1&amp;"!$K"&amp;$A$177+12&amp;":$K"&amp;$A181+12),Resultat!$AA$3))</f>
        <v>0</v>
      </c>
      <c r="E181">
        <f ca="1">IF(INDIRECT(E$1&amp;"!$K$"&amp;$A181+12)="","",COUNTIFS(INDIRECT(E$1&amp;"!$K"&amp;$A$177+12&amp;":$K"&amp;$A181+12),Resultat!$AA$3))</f>
        <v>1</v>
      </c>
      <c r="F181">
        <f ca="1">IF(INDIRECT(F$1&amp;"!$K$"&amp;$A181+12)="","",COUNTIFS(INDIRECT(F$1&amp;"!$K"&amp;$A$177+12&amp;":$K"&amp;$A181+12),Resultat!$AA$3))</f>
        <v>1</v>
      </c>
    </row>
    <row r="182" spans="1:6" outlineLevel="1" x14ac:dyDescent="0.2">
      <c r="A182">
        <v>6</v>
      </c>
      <c r="B182">
        <f ca="1">IF(INDIRECT(B$1&amp;"!$K$"&amp;$A182+12)="","",COUNTIFS(INDIRECT(B$1&amp;"!$K"&amp;$A$177+12&amp;":$K"&amp;$A182+12),Resultat!$AA$3))</f>
        <v>1</v>
      </c>
      <c r="C182">
        <f ca="1">IF(INDIRECT(C$1&amp;"!$K$"&amp;$A182+12)="","",COUNTIFS(INDIRECT(C$1&amp;"!$K"&amp;$A$177+12&amp;":$K"&amp;$A182+12),Resultat!$AA$3))</f>
        <v>0</v>
      </c>
      <c r="D182">
        <f ca="1">IF(INDIRECT(D$1&amp;"!$K$"&amp;$A182+12)="","",COUNTIFS(INDIRECT(D$1&amp;"!$K"&amp;$A$177+12&amp;":$K"&amp;$A182+12),Resultat!$AA$3))</f>
        <v>0</v>
      </c>
      <c r="E182">
        <f ca="1">IF(INDIRECT(E$1&amp;"!$K$"&amp;$A182+12)="","",COUNTIFS(INDIRECT(E$1&amp;"!$K"&amp;$A$177+12&amp;":$K"&amp;$A182+12),Resultat!$AA$3))</f>
        <v>1</v>
      </c>
      <c r="F182">
        <f ca="1">IF(INDIRECT(F$1&amp;"!$K$"&amp;$A182+12)="","",COUNTIFS(INDIRECT(F$1&amp;"!$K"&amp;$A$177+12&amp;":$K"&amp;$A182+12),Resultat!$AA$3))</f>
        <v>1</v>
      </c>
    </row>
    <row r="183" spans="1:6" outlineLevel="1" x14ac:dyDescent="0.2">
      <c r="A183">
        <v>7</v>
      </c>
      <c r="B183">
        <f ca="1">IF(INDIRECT(B$1&amp;"!$K$"&amp;$A183+12)="","",COUNTIFS(INDIRECT(B$1&amp;"!$K"&amp;$A$177+12&amp;":$K"&amp;$A183+12),Resultat!$AA$3))</f>
        <v>1</v>
      </c>
      <c r="C183">
        <f ca="1">IF(INDIRECT(C$1&amp;"!$K$"&amp;$A183+12)="","",COUNTIFS(INDIRECT(C$1&amp;"!$K"&amp;$A$177+12&amp;":$K"&amp;$A183+12),Resultat!$AA$3))</f>
        <v>0</v>
      </c>
      <c r="D183">
        <f ca="1">IF(INDIRECT(D$1&amp;"!$K$"&amp;$A183+12)="","",COUNTIFS(INDIRECT(D$1&amp;"!$K"&amp;$A$177+12&amp;":$K"&amp;$A183+12),Resultat!$AA$3))</f>
        <v>1</v>
      </c>
      <c r="E183">
        <f ca="1">IF(INDIRECT(E$1&amp;"!$K$"&amp;$A183+12)="","",COUNTIFS(INDIRECT(E$1&amp;"!$K"&amp;$A$177+12&amp;":$K"&amp;$A183+12),Resultat!$AA$3))</f>
        <v>1</v>
      </c>
      <c r="F183">
        <f ca="1">IF(INDIRECT(F$1&amp;"!$K$"&amp;$A183+12)="","",COUNTIFS(INDIRECT(F$1&amp;"!$K"&amp;$A$177+12&amp;":$K"&amp;$A183+12),Resultat!$AA$3))</f>
        <v>1</v>
      </c>
    </row>
    <row r="184" spans="1:6" outlineLevel="1" x14ac:dyDescent="0.2">
      <c r="A184">
        <v>8</v>
      </c>
      <c r="B184">
        <f ca="1">IF(INDIRECT(B$1&amp;"!$K$"&amp;$A184+12)="","",COUNTIFS(INDIRECT(B$1&amp;"!$K"&amp;$A$177+12&amp;":$K"&amp;$A184+12),Resultat!$AA$3))</f>
        <v>1</v>
      </c>
      <c r="C184">
        <f ca="1">IF(INDIRECT(C$1&amp;"!$K$"&amp;$A184+12)="","",COUNTIFS(INDIRECT(C$1&amp;"!$K"&amp;$A$177+12&amp;":$K"&amp;$A184+12),Resultat!$AA$3))</f>
        <v>1</v>
      </c>
      <c r="D184">
        <f ca="1">IF(INDIRECT(D$1&amp;"!$K$"&amp;$A184+12)="","",COUNTIFS(INDIRECT(D$1&amp;"!$K"&amp;$A$177+12&amp;":$K"&amp;$A184+12),Resultat!$AA$3))</f>
        <v>1</v>
      </c>
      <c r="E184">
        <f ca="1">IF(INDIRECT(E$1&amp;"!$K$"&amp;$A184+12)="","",COUNTIFS(INDIRECT(E$1&amp;"!$K"&amp;$A$177+12&amp;":$K"&amp;$A184+12),Resultat!$AA$3))</f>
        <v>1</v>
      </c>
      <c r="F184">
        <f ca="1">IF(INDIRECT(F$1&amp;"!$K$"&amp;$A184+12)="","",COUNTIFS(INDIRECT(F$1&amp;"!$K"&amp;$A$177+12&amp;":$K"&amp;$A184+12),Resultat!$AA$3))</f>
        <v>1</v>
      </c>
    </row>
    <row r="185" spans="1:6" outlineLevel="1" x14ac:dyDescent="0.2">
      <c r="A185">
        <v>9</v>
      </c>
      <c r="B185">
        <f ca="1">IF(INDIRECT(B$1&amp;"!$K$"&amp;$A185+12)="","",COUNTIFS(INDIRECT(B$1&amp;"!$K"&amp;$A$177+12&amp;":$K"&amp;$A185+12),Resultat!$AA$3))</f>
        <v>1</v>
      </c>
      <c r="C185">
        <f ca="1">IF(INDIRECT(C$1&amp;"!$K$"&amp;$A185+12)="","",COUNTIFS(INDIRECT(C$1&amp;"!$K"&amp;$A$177+12&amp;":$K"&amp;$A185+12),Resultat!$AA$3))</f>
        <v>1</v>
      </c>
      <c r="D185">
        <f ca="1">IF(INDIRECT(D$1&amp;"!$K$"&amp;$A185+12)="","",COUNTIFS(INDIRECT(D$1&amp;"!$K"&amp;$A$177+12&amp;":$K"&amp;$A185+12),Resultat!$AA$3))</f>
        <v>1</v>
      </c>
      <c r="E185">
        <f ca="1">IF(INDIRECT(E$1&amp;"!$K$"&amp;$A185+12)="","",COUNTIFS(INDIRECT(E$1&amp;"!$K"&amp;$A$177+12&amp;":$K"&amp;$A185+12),Resultat!$AA$3))</f>
        <v>1</v>
      </c>
      <c r="F185">
        <f ca="1">IF(INDIRECT(F$1&amp;"!$K$"&amp;$A185+12)="","",COUNTIFS(INDIRECT(F$1&amp;"!$K"&amp;$A$177+12&amp;":$K"&amp;$A185+12),Resultat!$AA$3))</f>
        <v>1</v>
      </c>
    </row>
    <row r="186" spans="1:6" outlineLevel="1" x14ac:dyDescent="0.2">
      <c r="A186">
        <v>10</v>
      </c>
      <c r="B186">
        <f ca="1">IF(INDIRECT(B$1&amp;"!$K$"&amp;$A186+12)="","",COUNTIFS(INDIRECT(B$1&amp;"!$K"&amp;$A$177+12&amp;":$K"&amp;$A186+12),Resultat!$AA$3))</f>
        <v>1</v>
      </c>
      <c r="C186">
        <f ca="1">IF(INDIRECT(C$1&amp;"!$K$"&amp;$A186+12)="","",COUNTIFS(INDIRECT(C$1&amp;"!$K"&amp;$A$177+12&amp;":$K"&amp;$A186+12),Resultat!$AA$3))</f>
        <v>1</v>
      </c>
      <c r="D186">
        <f ca="1">IF(INDIRECT(D$1&amp;"!$K$"&amp;$A186+12)="","",COUNTIFS(INDIRECT(D$1&amp;"!$K"&amp;$A$177+12&amp;":$K"&amp;$A186+12),Resultat!$AA$3))</f>
        <v>1</v>
      </c>
      <c r="E186">
        <f ca="1">IF(INDIRECT(E$1&amp;"!$K$"&amp;$A186+12)="","",COUNTIFS(INDIRECT(E$1&amp;"!$K"&amp;$A$177+12&amp;":$K"&amp;$A186+12),Resultat!$AA$3))</f>
        <v>1</v>
      </c>
      <c r="F186">
        <f ca="1">IF(INDIRECT(F$1&amp;"!$K$"&amp;$A186+12)="","",COUNTIFS(INDIRECT(F$1&amp;"!$K"&amp;$A$177+12&amp;":$K"&amp;$A186+12),Resultat!$AA$3))</f>
        <v>1</v>
      </c>
    </row>
    <row r="187" spans="1:6" outlineLevel="1" x14ac:dyDescent="0.2">
      <c r="A187">
        <v>11</v>
      </c>
      <c r="B187">
        <f ca="1">IF(INDIRECT(B$1&amp;"!$K$"&amp;$A187+12)="","",COUNTIFS(INDIRECT(B$1&amp;"!$K"&amp;$A$177+12&amp;":$K"&amp;$A187+12),Resultat!$AA$3))</f>
        <v>1</v>
      </c>
      <c r="C187">
        <f ca="1">IF(INDIRECT(C$1&amp;"!$K$"&amp;$A187+12)="","",COUNTIFS(INDIRECT(C$1&amp;"!$K"&amp;$A$177+12&amp;":$K"&amp;$A187+12),Resultat!$AA$3))</f>
        <v>2</v>
      </c>
      <c r="D187">
        <f ca="1">IF(INDIRECT(D$1&amp;"!$K$"&amp;$A187+12)="","",COUNTIFS(INDIRECT(D$1&amp;"!$K"&amp;$A$177+12&amp;":$K"&amp;$A187+12),Resultat!$AA$3))</f>
        <v>2</v>
      </c>
      <c r="E187">
        <f ca="1">IF(INDIRECT(E$1&amp;"!$K$"&amp;$A187+12)="","",COUNTIFS(INDIRECT(E$1&amp;"!$K"&amp;$A$177+12&amp;":$K"&amp;$A187+12),Resultat!$AA$3))</f>
        <v>1</v>
      </c>
      <c r="F187">
        <f ca="1">IF(INDIRECT(F$1&amp;"!$K$"&amp;$A187+12)="","",COUNTIFS(INDIRECT(F$1&amp;"!$K"&amp;$A$177+12&amp;":$K"&amp;$A187+12),Resultat!$AA$3))</f>
        <v>1</v>
      </c>
    </row>
    <row r="188" spans="1:6" outlineLevel="1" x14ac:dyDescent="0.2">
      <c r="A188">
        <v>12</v>
      </c>
      <c r="B188">
        <f ca="1">IF(INDIRECT(B$1&amp;"!$K$"&amp;$A188+12)="","",COUNTIFS(INDIRECT(B$1&amp;"!$K"&amp;$A$177+12&amp;":$K"&amp;$A188+12),Resultat!$AA$3))</f>
        <v>2</v>
      </c>
      <c r="C188">
        <f ca="1">IF(INDIRECT(C$1&amp;"!$K$"&amp;$A188+12)="","",COUNTIFS(INDIRECT(C$1&amp;"!$K"&amp;$A$177+12&amp;":$K"&amp;$A188+12),Resultat!$AA$3))</f>
        <v>2</v>
      </c>
      <c r="D188">
        <f ca="1">IF(INDIRECT(D$1&amp;"!$K$"&amp;$A188+12)="","",COUNTIFS(INDIRECT(D$1&amp;"!$K"&amp;$A$177+12&amp;":$K"&amp;$A188+12),Resultat!$AA$3))</f>
        <v>2</v>
      </c>
      <c r="E188">
        <f ca="1">IF(INDIRECT(E$1&amp;"!$K$"&amp;$A188+12)="","",COUNTIFS(INDIRECT(E$1&amp;"!$K"&amp;$A$177+12&amp;":$K"&amp;$A188+12),Resultat!$AA$3))</f>
        <v>2</v>
      </c>
      <c r="F188">
        <f ca="1">IF(INDIRECT(F$1&amp;"!$K$"&amp;$A188+12)="","",COUNTIFS(INDIRECT(F$1&amp;"!$K"&amp;$A$177+12&amp;":$K"&amp;$A188+12),Resultat!$AA$3))</f>
        <v>1</v>
      </c>
    </row>
    <row r="189" spans="1:6" outlineLevel="1" x14ac:dyDescent="0.2">
      <c r="A189">
        <v>13</v>
      </c>
      <c r="B189">
        <f ca="1">IF(INDIRECT(B$1&amp;"!$K$"&amp;$A189+12)="","",COUNTIFS(INDIRECT(B$1&amp;"!$K"&amp;$A$177+12&amp;":$K"&amp;$A189+12),Resultat!$AA$3))</f>
        <v>2</v>
      </c>
      <c r="C189">
        <f ca="1">IF(INDIRECT(C$1&amp;"!$K$"&amp;$A189+12)="","",COUNTIFS(INDIRECT(C$1&amp;"!$K"&amp;$A$177+12&amp;":$K"&amp;$A189+12),Resultat!$AA$3))</f>
        <v>2</v>
      </c>
      <c r="D189">
        <f ca="1">IF(INDIRECT(D$1&amp;"!$K$"&amp;$A189+12)="","",COUNTIFS(INDIRECT(D$1&amp;"!$K"&amp;$A$177+12&amp;":$K"&amp;$A189+12),Resultat!$AA$3))</f>
        <v>2</v>
      </c>
      <c r="E189">
        <f ca="1">IF(INDIRECT(E$1&amp;"!$K$"&amp;$A189+12)="","",COUNTIFS(INDIRECT(E$1&amp;"!$K"&amp;$A$177+12&amp;":$K"&amp;$A189+12),Resultat!$AA$3))</f>
        <v>2</v>
      </c>
      <c r="F189">
        <f ca="1">IF(INDIRECT(F$1&amp;"!$K$"&amp;$A189+12)="","",COUNTIFS(INDIRECT(F$1&amp;"!$K"&amp;$A$177+12&amp;":$K"&amp;$A189+12),Resultat!$AA$3))</f>
        <v>1</v>
      </c>
    </row>
    <row r="190" spans="1:6" outlineLevel="1" x14ac:dyDescent="0.2">
      <c r="A190">
        <v>14</v>
      </c>
      <c r="B190">
        <f ca="1">IF(INDIRECT(B$1&amp;"!$K$"&amp;$A190+12)="","",COUNTIFS(INDIRECT(B$1&amp;"!$K"&amp;$A$177+12&amp;":$K"&amp;$A190+12),Resultat!$AA$3))</f>
        <v>2</v>
      </c>
      <c r="C190">
        <f ca="1">IF(INDIRECT(C$1&amp;"!$K$"&amp;$A190+12)="","",COUNTIFS(INDIRECT(C$1&amp;"!$K"&amp;$A$177+12&amp;":$K"&amp;$A190+12),Resultat!$AA$3))</f>
        <v>3</v>
      </c>
      <c r="D190">
        <f ca="1">IF(INDIRECT(D$1&amp;"!$K$"&amp;$A190+12)="","",COUNTIFS(INDIRECT(D$1&amp;"!$K"&amp;$A$177+12&amp;":$K"&amp;$A190+12),Resultat!$AA$3))</f>
        <v>3</v>
      </c>
      <c r="E190">
        <f ca="1">IF(INDIRECT(E$1&amp;"!$K$"&amp;$A190+12)="","",COUNTIFS(INDIRECT(E$1&amp;"!$K"&amp;$A$177+12&amp;":$K"&amp;$A190+12),Resultat!$AA$3))</f>
        <v>2</v>
      </c>
      <c r="F190">
        <f ca="1">IF(INDIRECT(F$1&amp;"!$K$"&amp;$A190+12)="","",COUNTIFS(INDIRECT(F$1&amp;"!$K"&amp;$A$177+12&amp;":$K"&amp;$A190+12),Resultat!$AA$3))</f>
        <v>1</v>
      </c>
    </row>
    <row r="191" spans="1:6" outlineLevel="1" x14ac:dyDescent="0.2">
      <c r="A191">
        <v>15</v>
      </c>
      <c r="B191">
        <f ca="1">IF(INDIRECT(B$1&amp;"!$K$"&amp;$A191+12)="","",COUNTIFS(INDIRECT(B$1&amp;"!$K"&amp;$A$177+12&amp;":$K"&amp;$A191+12),Resultat!$AA$3))</f>
        <v>2</v>
      </c>
      <c r="C191">
        <f ca="1">IF(INDIRECT(C$1&amp;"!$K$"&amp;$A191+12)="","",COUNTIFS(INDIRECT(C$1&amp;"!$K"&amp;$A$177+12&amp;":$K"&amp;$A191+12),Resultat!$AA$3))</f>
        <v>4</v>
      </c>
      <c r="D191">
        <f ca="1">IF(INDIRECT(D$1&amp;"!$K$"&amp;$A191+12)="","",COUNTIFS(INDIRECT(D$1&amp;"!$K"&amp;$A$177+12&amp;":$K"&amp;$A191+12),Resultat!$AA$3))</f>
        <v>4</v>
      </c>
      <c r="E191">
        <f ca="1">IF(INDIRECT(E$1&amp;"!$K$"&amp;$A191+12)="","",COUNTIFS(INDIRECT(E$1&amp;"!$K"&amp;$A$177+12&amp;":$K"&amp;$A191+12),Resultat!$AA$3))</f>
        <v>2</v>
      </c>
      <c r="F191">
        <f ca="1">IF(INDIRECT(F$1&amp;"!$K$"&amp;$A191+12)="","",COUNTIFS(INDIRECT(F$1&amp;"!$K"&amp;$A$177+12&amp;":$K"&amp;$A191+12),Resultat!$AA$3))</f>
        <v>1</v>
      </c>
    </row>
    <row r="192" spans="1:6" outlineLevel="1" x14ac:dyDescent="0.2">
      <c r="A192">
        <v>16</v>
      </c>
      <c r="B192">
        <f ca="1">IF(INDIRECT(B$1&amp;"!$K$"&amp;$A192+12)="","",COUNTIFS(INDIRECT(B$1&amp;"!$K"&amp;$A$177+12&amp;":$K"&amp;$A192+12),Resultat!$AA$3))</f>
        <v>2</v>
      </c>
      <c r="C192">
        <f ca="1">IF(INDIRECT(C$1&amp;"!$K$"&amp;$A192+12)="","",COUNTIFS(INDIRECT(C$1&amp;"!$K"&amp;$A$177+12&amp;":$K"&amp;$A192+12),Resultat!$AA$3))</f>
        <v>4</v>
      </c>
      <c r="D192">
        <f ca="1">IF(INDIRECT(D$1&amp;"!$K$"&amp;$A192+12)="","",COUNTIFS(INDIRECT(D$1&amp;"!$K"&amp;$A$177+12&amp;":$K"&amp;$A192+12),Resultat!$AA$3))</f>
        <v>4</v>
      </c>
      <c r="E192">
        <f ca="1">IF(INDIRECT(E$1&amp;"!$K$"&amp;$A192+12)="","",COUNTIFS(INDIRECT(E$1&amp;"!$K"&amp;$A$177+12&amp;":$K"&amp;$A192+12),Resultat!$AA$3))</f>
        <v>2</v>
      </c>
      <c r="F192">
        <f ca="1">IF(INDIRECT(F$1&amp;"!$K$"&amp;$A192+12)="","",COUNTIFS(INDIRECT(F$1&amp;"!$K"&amp;$A$177+12&amp;":$K"&amp;$A192+12),Resultat!$AA$3))</f>
        <v>1</v>
      </c>
    </row>
    <row r="193" spans="1:6" outlineLevel="1" x14ac:dyDescent="0.2">
      <c r="A193">
        <v>17</v>
      </c>
      <c r="B193">
        <f ca="1">IF(INDIRECT(B$1&amp;"!$K$"&amp;$A193+12)="","",COUNTIFS(INDIRECT(B$1&amp;"!$K"&amp;$A$177+12&amp;":$K"&amp;$A193+12),Resultat!$AA$3))</f>
        <v>2</v>
      </c>
      <c r="C193">
        <f ca="1">IF(INDIRECT(C$1&amp;"!$K$"&amp;$A193+12)="","",COUNTIFS(INDIRECT(C$1&amp;"!$K"&amp;$A$177+12&amp;":$K"&amp;$A193+12),Resultat!$AA$3))</f>
        <v>4</v>
      </c>
      <c r="D193">
        <f ca="1">IF(INDIRECT(D$1&amp;"!$K$"&amp;$A193+12)="","",COUNTIFS(INDIRECT(D$1&amp;"!$K"&amp;$A$177+12&amp;":$K"&amp;$A193+12),Resultat!$AA$3))</f>
        <v>4</v>
      </c>
      <c r="E193">
        <f ca="1">IF(INDIRECT(E$1&amp;"!$K$"&amp;$A193+12)="","",COUNTIFS(INDIRECT(E$1&amp;"!$K"&amp;$A$177+12&amp;":$K"&amp;$A193+12),Resultat!$AA$3))</f>
        <v>3</v>
      </c>
      <c r="F193">
        <f ca="1">IF(INDIRECT(F$1&amp;"!$K$"&amp;$A193+12)="","",COUNTIFS(INDIRECT(F$1&amp;"!$K"&amp;$A$177+12&amp;":$K"&amp;$A193+12),Resultat!$AA$3))</f>
        <v>1</v>
      </c>
    </row>
    <row r="194" spans="1:6" outlineLevel="1" x14ac:dyDescent="0.2">
      <c r="A194">
        <v>18</v>
      </c>
      <c r="B194">
        <f ca="1">IF(INDIRECT(B$1&amp;"!$K$"&amp;$A194+12)="","",COUNTIFS(INDIRECT(B$1&amp;"!$K"&amp;$A$177+12&amp;":$K"&amp;$A194+12),Resultat!$AA$3))</f>
        <v>2</v>
      </c>
      <c r="C194">
        <f ca="1">IF(INDIRECT(C$1&amp;"!$K$"&amp;$A194+12)="","",COUNTIFS(INDIRECT(C$1&amp;"!$K"&amp;$A$177+12&amp;":$K"&amp;$A194+12),Resultat!$AA$3))</f>
        <v>4</v>
      </c>
      <c r="D194">
        <f ca="1">IF(INDIRECT(D$1&amp;"!$K$"&amp;$A194+12)="","",COUNTIFS(INDIRECT(D$1&amp;"!$K"&amp;$A$177+12&amp;":$K"&amp;$A194+12),Resultat!$AA$3))</f>
        <v>4</v>
      </c>
      <c r="E194">
        <f ca="1">IF(INDIRECT(E$1&amp;"!$K$"&amp;$A194+12)="","",COUNTIFS(INDIRECT(E$1&amp;"!$K"&amp;$A$177+12&amp;":$K"&amp;$A194+12),Resultat!$AA$3))</f>
        <v>3</v>
      </c>
      <c r="F194">
        <f ca="1">IF(INDIRECT(F$1&amp;"!$K$"&amp;$A194+12)="","",COUNTIFS(INDIRECT(F$1&amp;"!$K"&amp;$A$177+12&amp;":$K"&amp;$A194+12),Resultat!$AA$3))</f>
        <v>1</v>
      </c>
    </row>
    <row r="195" spans="1:6" outlineLevel="1" x14ac:dyDescent="0.2">
      <c r="A195">
        <v>19</v>
      </c>
      <c r="B195">
        <f ca="1">IF(INDIRECT(B$1&amp;"!$K$"&amp;$A195+12)="","",COUNTIFS(INDIRECT(B$1&amp;"!$K"&amp;$A$177+12&amp;":$K"&amp;$A195+12),Resultat!$AA$3))</f>
        <v>2</v>
      </c>
      <c r="C195">
        <f ca="1">IF(INDIRECT(C$1&amp;"!$K$"&amp;$A195+12)="","",COUNTIFS(INDIRECT(C$1&amp;"!$K"&amp;$A$177+12&amp;":$K"&amp;$A195+12),Resultat!$AA$3))</f>
        <v>4</v>
      </c>
      <c r="D195">
        <f ca="1">IF(INDIRECT(D$1&amp;"!$K$"&amp;$A195+12)="","",COUNTIFS(INDIRECT(D$1&amp;"!$K"&amp;$A$177+12&amp;":$K"&amp;$A195+12),Resultat!$AA$3))</f>
        <v>4</v>
      </c>
      <c r="E195">
        <f ca="1">IF(INDIRECT(E$1&amp;"!$K$"&amp;$A195+12)="","",COUNTIFS(INDIRECT(E$1&amp;"!$K"&amp;$A$177+12&amp;":$K"&amp;$A195+12),Resultat!$AA$3))</f>
        <v>3</v>
      </c>
      <c r="F195">
        <f ca="1">IF(INDIRECT(F$1&amp;"!$K$"&amp;$A195+12)="","",COUNTIFS(INDIRECT(F$1&amp;"!$K"&amp;$A$177+12&amp;":$K"&amp;$A195+12),Resultat!$AA$3))</f>
        <v>1</v>
      </c>
    </row>
    <row r="196" spans="1:6" outlineLevel="1" x14ac:dyDescent="0.2">
      <c r="A196">
        <v>20</v>
      </c>
      <c r="B196">
        <f ca="1">IF(INDIRECT(B$1&amp;"!$K$"&amp;$A196+12)="","",COUNTIFS(INDIRECT(B$1&amp;"!$K"&amp;$A$177+12&amp;":$K"&amp;$A196+12),Resultat!$AA$3))</f>
        <v>2</v>
      </c>
      <c r="C196">
        <f ca="1">IF(INDIRECT(C$1&amp;"!$K$"&amp;$A196+12)="","",COUNTIFS(INDIRECT(C$1&amp;"!$K"&amp;$A$177+12&amp;":$K"&amp;$A196+12),Resultat!$AA$3))</f>
        <v>5</v>
      </c>
      <c r="D196">
        <f ca="1">IF(INDIRECT(D$1&amp;"!$K$"&amp;$A196+12)="","",COUNTIFS(INDIRECT(D$1&amp;"!$K"&amp;$A$177+12&amp;":$K"&amp;$A196+12),Resultat!$AA$3))</f>
        <v>4</v>
      </c>
      <c r="E196">
        <f ca="1">IF(INDIRECT(E$1&amp;"!$K$"&amp;$A196+12)="","",COUNTIFS(INDIRECT(E$1&amp;"!$K"&amp;$A$177+12&amp;":$K"&amp;$A196+12),Resultat!$AA$3))</f>
        <v>3</v>
      </c>
      <c r="F196">
        <f ca="1">IF(INDIRECT(F$1&amp;"!$K$"&amp;$A196+12)="","",COUNTIFS(INDIRECT(F$1&amp;"!$K"&amp;$A$177+12&amp;":$K"&amp;$A196+12),Resultat!$AA$3))</f>
        <v>1</v>
      </c>
    </row>
    <row r="197" spans="1:6" outlineLevel="1" x14ac:dyDescent="0.2">
      <c r="A197">
        <v>21</v>
      </c>
      <c r="B197">
        <f ca="1">IF(INDIRECT(B$1&amp;"!$K$"&amp;$A197+12)="","",COUNTIFS(INDIRECT(B$1&amp;"!$K"&amp;$A$177+12&amp;":$K"&amp;$A197+12),Resultat!$AA$3))</f>
        <v>2</v>
      </c>
      <c r="C197">
        <f ca="1">IF(INDIRECT(C$1&amp;"!$K$"&amp;$A197+12)="","",COUNTIFS(INDIRECT(C$1&amp;"!$K"&amp;$A$177+12&amp;":$K"&amp;$A197+12),Resultat!$AA$3))</f>
        <v>5</v>
      </c>
      <c r="D197">
        <f ca="1">IF(INDIRECT(D$1&amp;"!$K$"&amp;$A197+12)="","",COUNTIFS(INDIRECT(D$1&amp;"!$K"&amp;$A$177+12&amp;":$K"&amp;$A197+12),Resultat!$AA$3))</f>
        <v>4</v>
      </c>
      <c r="E197">
        <f ca="1">IF(INDIRECT(E$1&amp;"!$K$"&amp;$A197+12)="","",COUNTIFS(INDIRECT(E$1&amp;"!$K"&amp;$A$177+12&amp;":$K"&amp;$A197+12),Resultat!$AA$3))</f>
        <v>4</v>
      </c>
      <c r="F197">
        <f ca="1">IF(INDIRECT(F$1&amp;"!$K$"&amp;$A197+12)="","",COUNTIFS(INDIRECT(F$1&amp;"!$K"&amp;$A$177+12&amp;":$K"&amp;$A197+12),Resultat!$AA$3))</f>
        <v>1</v>
      </c>
    </row>
    <row r="198" spans="1:6" outlineLevel="1" x14ac:dyDescent="0.2">
      <c r="A198">
        <v>22</v>
      </c>
      <c r="B198">
        <f ca="1">IF(INDIRECT(B$1&amp;"!$K$"&amp;$A198+12)="","",COUNTIFS(INDIRECT(B$1&amp;"!$K"&amp;$A$177+12&amp;":$K"&amp;$A198+12),Resultat!$AA$3))</f>
        <v>2</v>
      </c>
      <c r="C198">
        <f ca="1">IF(INDIRECT(C$1&amp;"!$K$"&amp;$A198+12)="","",COUNTIFS(INDIRECT(C$1&amp;"!$K"&amp;$A$177+12&amp;":$K"&amp;$A198+12),Resultat!$AA$3))</f>
        <v>5</v>
      </c>
      <c r="D198">
        <f ca="1">IF(INDIRECT(D$1&amp;"!$K$"&amp;$A198+12)="","",COUNTIFS(INDIRECT(D$1&amp;"!$K"&amp;$A$177+12&amp;":$K"&amp;$A198+12),Resultat!$AA$3))</f>
        <v>4</v>
      </c>
      <c r="E198">
        <f ca="1">IF(INDIRECT(E$1&amp;"!$K$"&amp;$A198+12)="","",COUNTIFS(INDIRECT(E$1&amp;"!$K"&amp;$A$177+12&amp;":$K"&amp;$A198+12),Resultat!$AA$3))</f>
        <v>5</v>
      </c>
      <c r="F198">
        <f ca="1">IF(INDIRECT(F$1&amp;"!$K$"&amp;$A198+12)="","",COUNTIFS(INDIRECT(F$1&amp;"!$K"&amp;$A$177+12&amp;":$K"&amp;$A198+12),Resultat!$AA$3))</f>
        <v>1</v>
      </c>
    </row>
    <row r="199" spans="1:6" outlineLevel="1" x14ac:dyDescent="0.2">
      <c r="A199">
        <v>23</v>
      </c>
      <c r="B199">
        <f ca="1">IF(INDIRECT(B$1&amp;"!$K$"&amp;$A199+12)="","",COUNTIFS(INDIRECT(B$1&amp;"!$K"&amp;$A$177+12&amp;":$K"&amp;$A199+12),Resultat!$AA$3))</f>
        <v>2</v>
      </c>
      <c r="C199">
        <f ca="1">IF(INDIRECT(C$1&amp;"!$K$"&amp;$A199+12)="","",COUNTIFS(INDIRECT(C$1&amp;"!$K"&amp;$A$177+12&amp;":$K"&amp;$A199+12),Resultat!$AA$3))</f>
        <v>5</v>
      </c>
      <c r="D199">
        <f ca="1">IF(INDIRECT(D$1&amp;"!$K$"&amp;$A199+12)="","",COUNTIFS(INDIRECT(D$1&amp;"!$K"&amp;$A$177+12&amp;":$K"&amp;$A199+12),Resultat!$AA$3))</f>
        <v>4</v>
      </c>
      <c r="E199">
        <f ca="1">IF(INDIRECT(E$1&amp;"!$K$"&amp;$A199+12)="","",COUNTIFS(INDIRECT(E$1&amp;"!$K"&amp;$A$177+12&amp;":$K"&amp;$A199+12),Resultat!$AA$3))</f>
        <v>5</v>
      </c>
      <c r="F199">
        <f ca="1">IF(INDIRECT(F$1&amp;"!$K$"&amp;$A199+12)="","",COUNTIFS(INDIRECT(F$1&amp;"!$K"&amp;$A$177+12&amp;":$K"&amp;$A199+12),Resultat!$AA$3))</f>
        <v>1</v>
      </c>
    </row>
    <row r="200" spans="1:6" outlineLevel="1" x14ac:dyDescent="0.2">
      <c r="A200">
        <v>24</v>
      </c>
      <c r="B200">
        <f ca="1">IF(INDIRECT(B$1&amp;"!$K$"&amp;$A200+12)="","",COUNTIFS(INDIRECT(B$1&amp;"!$K"&amp;$A$177+12&amp;":$K"&amp;$A200+12),Resultat!$AA$3))</f>
        <v>2</v>
      </c>
      <c r="C200">
        <f ca="1">IF(INDIRECT(C$1&amp;"!$K$"&amp;$A200+12)="","",COUNTIFS(INDIRECT(C$1&amp;"!$K"&amp;$A$177+12&amp;":$K"&amp;$A200+12),Resultat!$AA$3))</f>
        <v>5</v>
      </c>
      <c r="D200">
        <f ca="1">IF(INDIRECT(D$1&amp;"!$K$"&amp;$A200+12)="","",COUNTIFS(INDIRECT(D$1&amp;"!$K"&amp;$A$177+12&amp;":$K"&amp;$A200+12),Resultat!$AA$3))</f>
        <v>4</v>
      </c>
      <c r="E200">
        <f ca="1">IF(INDIRECT(E$1&amp;"!$K$"&amp;$A200+12)="","",COUNTIFS(INDIRECT(E$1&amp;"!$K"&amp;$A$177+12&amp;":$K"&amp;$A200+12),Resultat!$AA$3))</f>
        <v>6</v>
      </c>
      <c r="F200">
        <f ca="1">IF(INDIRECT(F$1&amp;"!$K$"&amp;$A200+12)="","",COUNTIFS(INDIRECT(F$1&amp;"!$K"&amp;$A$177+12&amp;":$K"&amp;$A200+12),Resultat!$AA$3))</f>
        <v>1</v>
      </c>
    </row>
    <row r="201" spans="1:6" outlineLevel="1" x14ac:dyDescent="0.2">
      <c r="A201">
        <v>25</v>
      </c>
      <c r="B201">
        <f ca="1">IF(INDIRECT(B$1&amp;"!$K$"&amp;$A201+12)="","",COUNTIFS(INDIRECT(B$1&amp;"!$K"&amp;$A$177+12&amp;":$K"&amp;$A201+12),Resultat!$AA$3))</f>
        <v>2</v>
      </c>
      <c r="C201">
        <f ca="1">IF(INDIRECT(C$1&amp;"!$K$"&amp;$A201+12)="","",COUNTIFS(INDIRECT(C$1&amp;"!$K"&amp;$A$177+12&amp;":$K"&amp;$A201+12),Resultat!$AA$3))</f>
        <v>5</v>
      </c>
      <c r="D201">
        <f ca="1">IF(INDIRECT(D$1&amp;"!$K$"&amp;$A201+12)="","",COUNTIFS(INDIRECT(D$1&amp;"!$K"&amp;$A$177+12&amp;":$K"&amp;$A201+12),Resultat!$AA$3))</f>
        <v>5</v>
      </c>
      <c r="E201">
        <f ca="1">IF(INDIRECT(E$1&amp;"!$K$"&amp;$A201+12)="","",COUNTIFS(INDIRECT(E$1&amp;"!$K"&amp;$A$177+12&amp;":$K"&amp;$A201+12),Resultat!$AA$3))</f>
        <v>6</v>
      </c>
      <c r="F201">
        <f ca="1">IF(INDIRECT(F$1&amp;"!$K$"&amp;$A201+12)="","",COUNTIFS(INDIRECT(F$1&amp;"!$K"&amp;$A$177+12&amp;":$K"&amp;$A201+12),Resultat!$AA$3))</f>
        <v>2</v>
      </c>
    </row>
    <row r="202" spans="1:6" outlineLevel="1" x14ac:dyDescent="0.2">
      <c r="A202">
        <v>26</v>
      </c>
      <c r="B202">
        <f ca="1">IF(INDIRECT(B$1&amp;"!$K$"&amp;$A202+12)="","",COUNTIFS(INDIRECT(B$1&amp;"!$K"&amp;$A$177+12&amp;":$K"&amp;$A202+12),Resultat!$AA$3))</f>
        <v>2</v>
      </c>
      <c r="C202">
        <f ca="1">IF(INDIRECT(C$1&amp;"!$K$"&amp;$A202+12)="","",COUNTIFS(INDIRECT(C$1&amp;"!$K"&amp;$A$177+12&amp;":$K"&amp;$A202+12),Resultat!$AA$3))</f>
        <v>5</v>
      </c>
      <c r="D202">
        <f ca="1">IF(INDIRECT(D$1&amp;"!$K$"&amp;$A202+12)="","",COUNTIFS(INDIRECT(D$1&amp;"!$K"&amp;$A$177+12&amp;":$K"&amp;$A202+12),Resultat!$AA$3))</f>
        <v>6</v>
      </c>
      <c r="E202">
        <f ca="1">IF(INDIRECT(E$1&amp;"!$K$"&amp;$A202+12)="","",COUNTIFS(INDIRECT(E$1&amp;"!$K"&amp;$A$177+12&amp;":$K"&amp;$A202+12),Resultat!$AA$3))</f>
        <v>6</v>
      </c>
      <c r="F202">
        <f ca="1">IF(INDIRECT(F$1&amp;"!$K$"&amp;$A202+12)="","",COUNTIFS(INDIRECT(F$1&amp;"!$K"&amp;$A$177+12&amp;":$K"&amp;$A202+12),Resultat!$AA$3))</f>
        <v>2</v>
      </c>
    </row>
    <row r="203" spans="1:6" outlineLevel="1" x14ac:dyDescent="0.2">
      <c r="A203">
        <v>27</v>
      </c>
      <c r="B203">
        <f ca="1">IF(INDIRECT(B$1&amp;"!$K$"&amp;$A203+12)="","",COUNTIFS(INDIRECT(B$1&amp;"!$K"&amp;$A$177+12&amp;":$K"&amp;$A203+12),Resultat!$AA$3))</f>
        <v>2</v>
      </c>
      <c r="C203">
        <f ca="1">IF(INDIRECT(C$1&amp;"!$K$"&amp;$A203+12)="","",COUNTIFS(INDIRECT(C$1&amp;"!$K"&amp;$A$177+12&amp;":$K"&amp;$A203+12),Resultat!$AA$3))</f>
        <v>5</v>
      </c>
      <c r="D203">
        <f ca="1">IF(INDIRECT(D$1&amp;"!$K$"&amp;$A203+12)="","",COUNTIFS(INDIRECT(D$1&amp;"!$K"&amp;$A$177+12&amp;":$K"&amp;$A203+12),Resultat!$AA$3))</f>
        <v>6</v>
      </c>
      <c r="E203">
        <f ca="1">IF(INDIRECT(E$1&amp;"!$K$"&amp;$A203+12)="","",COUNTIFS(INDIRECT(E$1&amp;"!$K"&amp;$A$177+12&amp;":$K"&amp;$A203+12),Resultat!$AA$3))</f>
        <v>6</v>
      </c>
      <c r="F203">
        <f ca="1">IF(INDIRECT(F$1&amp;"!$K$"&amp;$A203+12)="","",COUNTIFS(INDIRECT(F$1&amp;"!$K"&amp;$A$177+12&amp;":$K"&amp;$A203+12),Resultat!$AA$3))</f>
        <v>3</v>
      </c>
    </row>
    <row r="204" spans="1:6" outlineLevel="1" x14ac:dyDescent="0.2">
      <c r="A204">
        <v>28</v>
      </c>
      <c r="B204">
        <f ca="1">IF(INDIRECT(B$1&amp;"!$K$"&amp;$A204+12)="","",COUNTIFS(INDIRECT(B$1&amp;"!$K"&amp;$A$177+12&amp;":$K"&amp;$A204+12),Resultat!$AA$3))</f>
        <v>2</v>
      </c>
      <c r="C204">
        <f ca="1">IF(INDIRECT(C$1&amp;"!$K$"&amp;$A204+12)="","",COUNTIFS(INDIRECT(C$1&amp;"!$K"&amp;$A$177+12&amp;":$K"&amp;$A204+12),Resultat!$AA$3))</f>
        <v>5</v>
      </c>
      <c r="D204">
        <f ca="1">IF(INDIRECT(D$1&amp;"!$K$"&amp;$A204+12)="","",COUNTIFS(INDIRECT(D$1&amp;"!$K"&amp;$A$177+12&amp;":$K"&amp;$A204+12),Resultat!$AA$3))</f>
        <v>6</v>
      </c>
      <c r="E204">
        <f ca="1">IF(INDIRECT(E$1&amp;"!$K$"&amp;$A204+12)="","",COUNTIFS(INDIRECT(E$1&amp;"!$K"&amp;$A$177+12&amp;":$K"&amp;$A204+12),Resultat!$AA$3))</f>
        <v>7</v>
      </c>
      <c r="F204">
        <f ca="1">IF(INDIRECT(F$1&amp;"!$K$"&amp;$A204+12)="","",COUNTIFS(INDIRECT(F$1&amp;"!$K"&amp;$A$177+12&amp;":$K"&amp;$A204+12),Resultat!$AA$3))</f>
        <v>3</v>
      </c>
    </row>
    <row r="205" spans="1:6" outlineLevel="1" x14ac:dyDescent="0.2">
      <c r="A205">
        <v>29</v>
      </c>
      <c r="B205">
        <f ca="1">IF(INDIRECT(B$1&amp;"!$K$"&amp;$A205+12)="","",COUNTIFS(INDIRECT(B$1&amp;"!$K"&amp;$A$177+12&amp;":$K"&amp;$A205+12),Resultat!$AA$3))</f>
        <v>2</v>
      </c>
      <c r="C205">
        <f ca="1">IF(INDIRECT(C$1&amp;"!$K$"&amp;$A205+12)="","",COUNTIFS(INDIRECT(C$1&amp;"!$K"&amp;$A$177+12&amp;":$K"&amp;$A205+12),Resultat!$AA$3))</f>
        <v>5</v>
      </c>
      <c r="D205">
        <f ca="1">IF(INDIRECT(D$1&amp;"!$K$"&amp;$A205+12)="","",COUNTIFS(INDIRECT(D$1&amp;"!$K"&amp;$A$177+12&amp;":$K"&amp;$A205+12),Resultat!$AA$3))</f>
        <v>6</v>
      </c>
      <c r="E205">
        <f ca="1">IF(INDIRECT(E$1&amp;"!$K$"&amp;$A205+12)="","",COUNTIFS(INDIRECT(E$1&amp;"!$K"&amp;$A$177+12&amp;":$K"&amp;$A205+12),Resultat!$AA$3))</f>
        <v>7</v>
      </c>
      <c r="F205">
        <f ca="1">IF(INDIRECT(F$1&amp;"!$K$"&amp;$A205+12)="","",COUNTIFS(INDIRECT(F$1&amp;"!$K"&amp;$A$177+12&amp;":$K"&amp;$A205+12),Resultat!$AA$3))</f>
        <v>4</v>
      </c>
    </row>
    <row r="206" spans="1:6" outlineLevel="1" x14ac:dyDescent="0.2">
      <c r="A206">
        <v>30</v>
      </c>
      <c r="B206">
        <f ca="1">IF(INDIRECT(B$1&amp;"!$K$"&amp;$A206+12)="","",COUNTIFS(INDIRECT(B$1&amp;"!$K"&amp;$A$177+12&amp;":$K"&amp;$A206+12),Resultat!$AA$3))</f>
        <v>2</v>
      </c>
      <c r="C206">
        <f ca="1">IF(INDIRECT(C$1&amp;"!$K$"&amp;$A206+12)="","",COUNTIFS(INDIRECT(C$1&amp;"!$K"&amp;$A$177+12&amp;":$K"&amp;$A206+12),Resultat!$AA$3))</f>
        <v>5</v>
      </c>
      <c r="D206">
        <f ca="1">IF(INDIRECT(D$1&amp;"!$K$"&amp;$A206+12)="","",COUNTIFS(INDIRECT(D$1&amp;"!$K"&amp;$A$177+12&amp;":$K"&amp;$A206+12),Resultat!$AA$3))</f>
        <v>6</v>
      </c>
      <c r="E206">
        <f ca="1">IF(INDIRECT(E$1&amp;"!$K$"&amp;$A206+12)="","",COUNTIFS(INDIRECT(E$1&amp;"!$K"&amp;$A$177+12&amp;":$K"&amp;$A206+12),Resultat!$AA$3))</f>
        <v>7</v>
      </c>
      <c r="F206">
        <f ca="1">IF(INDIRECT(F$1&amp;"!$K$"&amp;$A206+12)="","",COUNTIFS(INDIRECT(F$1&amp;"!$K"&amp;$A$177+12&amp;":$K"&amp;$A206+12),Resultat!$AA$3))</f>
        <v>4</v>
      </c>
    </row>
    <row r="207" spans="1:6" outlineLevel="1" x14ac:dyDescent="0.2">
      <c r="A207">
        <v>31</v>
      </c>
      <c r="B207">
        <f ca="1">IF(INDIRECT(B$1&amp;"!$K$"&amp;$A207+12)="","",COUNTIFS(INDIRECT(B$1&amp;"!$K"&amp;$A$177+12&amp;":$K"&amp;$A207+12),Resultat!$AA$3))</f>
        <v>2</v>
      </c>
      <c r="C207">
        <f ca="1">IF(INDIRECT(C$1&amp;"!$K$"&amp;$A207+12)="","",COUNTIFS(INDIRECT(C$1&amp;"!$K"&amp;$A$177+12&amp;":$K"&amp;$A207+12),Resultat!$AA$3))</f>
        <v>5</v>
      </c>
      <c r="D207">
        <f ca="1">IF(INDIRECT(D$1&amp;"!$K$"&amp;$A207+12)="","",COUNTIFS(INDIRECT(D$1&amp;"!$K"&amp;$A$177+12&amp;":$K"&amp;$A207+12),Resultat!$AA$3))</f>
        <v>6</v>
      </c>
      <c r="E207">
        <f ca="1">IF(INDIRECT(E$1&amp;"!$K$"&amp;$A207+12)="","",COUNTIFS(INDIRECT(E$1&amp;"!$K"&amp;$A$177+12&amp;":$K"&amp;$A207+12),Resultat!$AA$3))</f>
        <v>7</v>
      </c>
      <c r="F207">
        <f ca="1">IF(INDIRECT(F$1&amp;"!$K$"&amp;$A207+12)="","",COUNTIFS(INDIRECT(F$1&amp;"!$K"&amp;$A$177+12&amp;":$K"&amp;$A207+12),Resultat!$AA$3))</f>
        <v>4</v>
      </c>
    </row>
    <row r="208" spans="1:6" outlineLevel="1" x14ac:dyDescent="0.2">
      <c r="A208">
        <v>32</v>
      </c>
      <c r="B208" t="str">
        <f ca="1">IF(INDIRECT(B$1&amp;"!$K$"&amp;$A208+12)="","",COUNTIFS(INDIRECT(B$1&amp;"!$K"&amp;$A$177+12&amp;":$K"&amp;$A208+12),Resultat!$AA$3))</f>
        <v/>
      </c>
      <c r="C208" t="str">
        <f ca="1">IF(INDIRECT(C$1&amp;"!$K$"&amp;$A208+12)="","",COUNTIFS(INDIRECT(C$1&amp;"!$K"&amp;$A$177+12&amp;":$K"&amp;$A208+12),Resultat!$AA$3))</f>
        <v/>
      </c>
      <c r="D208" t="str">
        <f ca="1">IF(INDIRECT(D$1&amp;"!$K$"&amp;$A208+12)="","",COUNTIFS(INDIRECT(D$1&amp;"!$K"&amp;$A$177+12&amp;":$K"&amp;$A208+12),Resultat!$AA$3))</f>
        <v/>
      </c>
      <c r="E208" t="str">
        <f ca="1">IF(INDIRECT(E$1&amp;"!$K$"&amp;$A208+12)="","",COUNTIFS(INDIRECT(E$1&amp;"!$K"&amp;$A$177+12&amp;":$K"&amp;$A208+12),Resultat!$AA$3))</f>
        <v/>
      </c>
      <c r="F208" t="str">
        <f ca="1">IF(INDIRECT(F$1&amp;"!$K$"&amp;$A208+12)="","",COUNTIFS(INDIRECT(F$1&amp;"!$K"&amp;$A$177+12&amp;":$K"&amp;$A208+12),Resultat!$AA$3))</f>
        <v/>
      </c>
    </row>
    <row r="209" spans="1:6" outlineLevel="1" x14ac:dyDescent="0.2">
      <c r="A209">
        <v>33</v>
      </c>
      <c r="B209" t="str">
        <f ca="1">IF(INDIRECT(B$1&amp;"!$K$"&amp;$A209+12)="","",COUNTIFS(INDIRECT(B$1&amp;"!$K"&amp;$A$177+12&amp;":$K"&amp;$A209+12),Resultat!$AA$3))</f>
        <v/>
      </c>
      <c r="C209" t="str">
        <f ca="1">IF(INDIRECT(C$1&amp;"!$K$"&amp;$A209+12)="","",COUNTIFS(INDIRECT(C$1&amp;"!$K"&amp;$A$177+12&amp;":$K"&amp;$A209+12),Resultat!$AA$3))</f>
        <v/>
      </c>
      <c r="D209" t="str">
        <f ca="1">IF(INDIRECT(D$1&amp;"!$K$"&amp;$A209+12)="","",COUNTIFS(INDIRECT(D$1&amp;"!$K"&amp;$A$177+12&amp;":$K"&amp;$A209+12),Resultat!$AA$3))</f>
        <v/>
      </c>
      <c r="E209" t="str">
        <f ca="1">IF(INDIRECT(E$1&amp;"!$K$"&amp;$A209+12)="","",COUNTIFS(INDIRECT(E$1&amp;"!$K"&amp;$A$177+12&amp;":$K"&amp;$A209+12),Resultat!$AA$3))</f>
        <v/>
      </c>
      <c r="F209" t="str">
        <f ca="1">IF(INDIRECT(F$1&amp;"!$K$"&amp;$A209+12)="","",COUNTIFS(INDIRECT(F$1&amp;"!$K"&amp;$A$177+12&amp;":$K"&amp;$A209+12),Resultat!$AA$3))</f>
        <v/>
      </c>
    </row>
    <row r="210" spans="1:6" outlineLevel="1" x14ac:dyDescent="0.2">
      <c r="A210">
        <v>34</v>
      </c>
      <c r="B210" t="str">
        <f ca="1">IF(INDIRECT(B$1&amp;"!$K$"&amp;$A210+12)="","",COUNTIFS(INDIRECT(B$1&amp;"!$K"&amp;$A$177+12&amp;":$K"&amp;$A210+12),Resultat!$AA$3))</f>
        <v/>
      </c>
      <c r="C210" t="str">
        <f ca="1">IF(INDIRECT(C$1&amp;"!$K$"&amp;$A210+12)="","",COUNTIFS(INDIRECT(C$1&amp;"!$K"&amp;$A$177+12&amp;":$K"&amp;$A210+12),Resultat!$AA$3))</f>
        <v/>
      </c>
      <c r="D210" t="str">
        <f ca="1">IF(INDIRECT(D$1&amp;"!$K$"&amp;$A210+12)="","",COUNTIFS(INDIRECT(D$1&amp;"!$K"&amp;$A$177+12&amp;":$K"&amp;$A210+12),Resultat!$AA$3))</f>
        <v/>
      </c>
      <c r="E210" t="str">
        <f ca="1">IF(INDIRECT(E$1&amp;"!$K$"&amp;$A210+12)="","",COUNTIFS(INDIRECT(E$1&amp;"!$K"&amp;$A$177+12&amp;":$K"&amp;$A210+12),Resultat!$AA$3))</f>
        <v/>
      </c>
      <c r="F210" t="str">
        <f ca="1">IF(INDIRECT(F$1&amp;"!$K$"&amp;$A210+12)="","",COUNTIFS(INDIRECT(F$1&amp;"!$K"&amp;$A$177+12&amp;":$K"&amp;$A210+12),Resultat!$AA$3))</f>
        <v/>
      </c>
    </row>
    <row r="211" spans="1:6" outlineLevel="1" x14ac:dyDescent="0.2">
      <c r="A211">
        <v>35</v>
      </c>
      <c r="B211" t="str">
        <f ca="1">IF(INDIRECT(B$1&amp;"!$K$"&amp;$A211+12)="","",COUNTIFS(INDIRECT(B$1&amp;"!$K"&amp;$A$177+12&amp;":$K"&amp;$A211+12),Resultat!$AA$3))</f>
        <v/>
      </c>
      <c r="C211" t="str">
        <f ca="1">IF(INDIRECT(C$1&amp;"!$K$"&amp;$A211+12)="","",COUNTIFS(INDIRECT(C$1&amp;"!$K"&amp;$A$177+12&amp;":$K"&amp;$A211+12),Resultat!$AA$3))</f>
        <v/>
      </c>
      <c r="D211" t="str">
        <f ca="1">IF(INDIRECT(D$1&amp;"!$K$"&amp;$A211+12)="","",COUNTIFS(INDIRECT(D$1&amp;"!$K"&amp;$A$177+12&amp;":$K"&amp;$A211+12),Resultat!$AA$3))</f>
        <v/>
      </c>
      <c r="E211" t="str">
        <f ca="1">IF(INDIRECT(E$1&amp;"!$K$"&amp;$A211+12)="","",COUNTIFS(INDIRECT(E$1&amp;"!$K"&amp;$A$177+12&amp;":$K"&amp;$A211+12),Resultat!$AA$3))</f>
        <v/>
      </c>
      <c r="F211" t="str">
        <f ca="1">IF(INDIRECT(F$1&amp;"!$K$"&amp;$A211+12)="","",COUNTIFS(INDIRECT(F$1&amp;"!$K"&amp;$A$177+12&amp;":$K"&amp;$A211+12),Resultat!$AA$3))</f>
        <v/>
      </c>
    </row>
    <row r="212" spans="1:6" outlineLevel="1" x14ac:dyDescent="0.2">
      <c r="A212">
        <v>36</v>
      </c>
      <c r="B212" t="str">
        <f ca="1">IF(INDIRECT(B$1&amp;"!$K$"&amp;$A212+12)="","",COUNTIFS(INDIRECT(B$1&amp;"!$K"&amp;$A$177+12&amp;":$K"&amp;$A212+12),Resultat!$AA$3))</f>
        <v/>
      </c>
      <c r="C212" t="str">
        <f ca="1">IF(INDIRECT(C$1&amp;"!$K$"&amp;$A212+12)="","",COUNTIFS(INDIRECT(C$1&amp;"!$K"&amp;$A$177+12&amp;":$K"&amp;$A212+12),Resultat!$AA$3))</f>
        <v/>
      </c>
      <c r="D212" t="str">
        <f ca="1">IF(INDIRECT(D$1&amp;"!$K$"&amp;$A212+12)="","",COUNTIFS(INDIRECT(D$1&amp;"!$K"&amp;$A$177+12&amp;":$K"&amp;$A212+12),Resultat!$AA$3))</f>
        <v/>
      </c>
      <c r="E212" t="str">
        <f ca="1">IF(INDIRECT(E$1&amp;"!$K$"&amp;$A212+12)="","",COUNTIFS(INDIRECT(E$1&amp;"!$K"&amp;$A$177+12&amp;":$K"&amp;$A212+12),Resultat!$AA$3))</f>
        <v/>
      </c>
      <c r="F212" t="str">
        <f ca="1">IF(INDIRECT(F$1&amp;"!$K$"&amp;$A212+12)="","",COUNTIFS(INDIRECT(F$1&amp;"!$K"&amp;$A$177+12&amp;":$K"&amp;$A212+12),Resultat!$AA$3))</f>
        <v/>
      </c>
    </row>
    <row r="213" spans="1:6" outlineLevel="1" x14ac:dyDescent="0.2">
      <c r="A213">
        <v>37</v>
      </c>
      <c r="B213" t="str">
        <f ca="1">IF(INDIRECT(B$1&amp;"!$K$"&amp;$A213+12)="","",COUNTIFS(INDIRECT(B$1&amp;"!$K"&amp;$A$177+12&amp;":$K"&amp;$A213+12),Resultat!$AA$3))</f>
        <v/>
      </c>
      <c r="C213" t="str">
        <f ca="1">IF(INDIRECT(C$1&amp;"!$K$"&amp;$A213+12)="","",COUNTIFS(INDIRECT(C$1&amp;"!$K"&amp;$A$177+12&amp;":$K"&amp;$A213+12),Resultat!$AA$3))</f>
        <v/>
      </c>
      <c r="D213" t="str">
        <f ca="1">IF(INDIRECT(D$1&amp;"!$K$"&amp;$A213+12)="","",COUNTIFS(INDIRECT(D$1&amp;"!$K"&amp;$A$177+12&amp;":$K"&amp;$A213+12),Resultat!$AA$3))</f>
        <v/>
      </c>
      <c r="E213" t="str">
        <f ca="1">IF(INDIRECT(E$1&amp;"!$K$"&amp;$A213+12)="","",COUNTIFS(INDIRECT(E$1&amp;"!$K"&amp;$A$177+12&amp;":$K"&amp;$A213+12),Resultat!$AA$3))</f>
        <v/>
      </c>
      <c r="F213" t="str">
        <f ca="1">IF(INDIRECT(F$1&amp;"!$K$"&amp;$A213+12)="","",COUNTIFS(INDIRECT(F$1&amp;"!$K"&amp;$A$177+12&amp;":$K"&amp;$A213+12),Resultat!$AA$3))</f>
        <v/>
      </c>
    </row>
    <row r="214" spans="1:6" outlineLevel="1" x14ac:dyDescent="0.2">
      <c r="A214">
        <v>38</v>
      </c>
      <c r="B214" t="str">
        <f ca="1">IF(INDIRECT(B$1&amp;"!$K$"&amp;$A214+12)="","",COUNTIFS(INDIRECT(B$1&amp;"!$K"&amp;$A$177+12&amp;":$K"&amp;$A214+12),Resultat!$AA$3))</f>
        <v/>
      </c>
      <c r="C214" t="str">
        <f ca="1">IF(INDIRECT(C$1&amp;"!$K$"&amp;$A214+12)="","",COUNTIFS(INDIRECT(C$1&amp;"!$K"&amp;$A$177+12&amp;":$K"&amp;$A214+12),Resultat!$AA$3))</f>
        <v/>
      </c>
      <c r="D214" t="str">
        <f ca="1">IF(INDIRECT(D$1&amp;"!$K$"&amp;$A214+12)="","",COUNTIFS(INDIRECT(D$1&amp;"!$K"&amp;$A$177+12&amp;":$K"&amp;$A214+12),Resultat!$AA$3))</f>
        <v/>
      </c>
      <c r="E214" t="str">
        <f ca="1">IF(INDIRECT(E$1&amp;"!$K$"&amp;$A214+12)="","",COUNTIFS(INDIRECT(E$1&amp;"!$K"&amp;$A$177+12&amp;":$K"&amp;$A214+12),Resultat!$AA$3))</f>
        <v/>
      </c>
      <c r="F214" t="str">
        <f ca="1">IF(INDIRECT(F$1&amp;"!$K$"&amp;$A214+12)="","",COUNTIFS(INDIRECT(F$1&amp;"!$K"&amp;$A$177+12&amp;":$K"&amp;$A214+12),Resultat!$AA$3))</f>
        <v/>
      </c>
    </row>
    <row r="215" spans="1:6" outlineLevel="1" x14ac:dyDescent="0.2">
      <c r="A215">
        <v>39</v>
      </c>
      <c r="B215" t="str">
        <f ca="1">IF(INDIRECT(B$1&amp;"!$K$"&amp;$A215+12)="","",COUNTIFS(INDIRECT(B$1&amp;"!$K"&amp;$A$177+12&amp;":$K"&amp;$A215+12),Resultat!$AA$3))</f>
        <v/>
      </c>
      <c r="C215" t="str">
        <f ca="1">IF(INDIRECT(C$1&amp;"!$K$"&amp;$A215+12)="","",COUNTIFS(INDIRECT(C$1&amp;"!$K"&amp;$A$177+12&amp;":$K"&amp;$A215+12),Resultat!$AA$3))</f>
        <v/>
      </c>
      <c r="D215" t="str">
        <f ca="1">IF(INDIRECT(D$1&amp;"!$K$"&amp;$A215+12)="","",COUNTIFS(INDIRECT(D$1&amp;"!$K"&amp;$A$177+12&amp;":$K"&amp;$A215+12),Resultat!$AA$3))</f>
        <v/>
      </c>
      <c r="E215" t="str">
        <f ca="1">IF(INDIRECT(E$1&amp;"!$K$"&amp;$A215+12)="","",COUNTIFS(INDIRECT(E$1&amp;"!$K"&amp;$A$177+12&amp;":$K"&amp;$A215+12),Resultat!$AA$3))</f>
        <v/>
      </c>
      <c r="F215" t="str">
        <f ca="1">IF(INDIRECT(F$1&amp;"!$K$"&amp;$A215+12)="","",COUNTIFS(INDIRECT(F$1&amp;"!$K"&amp;$A$177+12&amp;":$K"&amp;$A215+12),Resultat!$AA$3))</f>
        <v/>
      </c>
    </row>
    <row r="216" spans="1:6" outlineLevel="1" x14ac:dyDescent="0.2">
      <c r="A216">
        <v>40</v>
      </c>
      <c r="B216" t="str">
        <f ca="1">IF(INDIRECT(B$1&amp;"!$K$"&amp;$A216+12)="","",COUNTIFS(INDIRECT(B$1&amp;"!$K"&amp;$A$177+12&amp;":$K"&amp;$A216+12),Resultat!$AA$3))</f>
        <v/>
      </c>
      <c r="C216" t="str">
        <f ca="1">IF(INDIRECT(C$1&amp;"!$K$"&amp;$A216+12)="","",COUNTIFS(INDIRECT(C$1&amp;"!$K"&amp;$A$177+12&amp;":$K"&amp;$A216+12),Resultat!$AA$3))</f>
        <v/>
      </c>
      <c r="D216" t="str">
        <f ca="1">IF(INDIRECT(D$1&amp;"!$K$"&amp;$A216+12)="","",COUNTIFS(INDIRECT(D$1&amp;"!$K"&amp;$A$177+12&amp;":$K"&amp;$A216+12),Resultat!$AA$3))</f>
        <v/>
      </c>
      <c r="E216" t="str">
        <f ca="1">IF(INDIRECT(E$1&amp;"!$K$"&amp;$A216+12)="","",COUNTIFS(INDIRECT(E$1&amp;"!$K"&amp;$A$177+12&amp;":$K"&amp;$A216+12),Resultat!$AA$3))</f>
        <v/>
      </c>
      <c r="F216" t="str">
        <f ca="1">IF(INDIRECT(F$1&amp;"!$K$"&amp;$A216+12)="","",COUNTIFS(INDIRECT(F$1&amp;"!$K"&amp;$A$177+12&amp;":$K"&amp;$A216+12),Resultat!$AA$3))</f>
        <v/>
      </c>
    </row>
    <row r="217" spans="1:6" outlineLevel="1" x14ac:dyDescent="0.2">
      <c r="A217">
        <v>41</v>
      </c>
      <c r="B217" t="str">
        <f ca="1">IF(INDIRECT(B$1&amp;"!$K$"&amp;$A217+12)="","",COUNTIFS(INDIRECT(B$1&amp;"!$K"&amp;$A$177+12&amp;":$K"&amp;$A217+12),Resultat!$AA$3))</f>
        <v/>
      </c>
      <c r="C217" t="str">
        <f ca="1">IF(INDIRECT(C$1&amp;"!$K$"&amp;$A217+12)="","",COUNTIFS(INDIRECT(C$1&amp;"!$K"&amp;$A$177+12&amp;":$K"&amp;$A217+12),Resultat!$AA$3))</f>
        <v/>
      </c>
      <c r="D217" t="str">
        <f ca="1">IF(INDIRECT(D$1&amp;"!$K$"&amp;$A217+12)="","",COUNTIFS(INDIRECT(D$1&amp;"!$K"&amp;$A$177+12&amp;":$K"&amp;$A217+12),Resultat!$AA$3))</f>
        <v/>
      </c>
      <c r="E217" t="str">
        <f ca="1">IF(INDIRECT(E$1&amp;"!$K$"&amp;$A217+12)="","",COUNTIFS(INDIRECT(E$1&amp;"!$K"&amp;$A$177+12&amp;":$K"&amp;$A217+12),Resultat!$AA$3))</f>
        <v/>
      </c>
      <c r="F217" t="str">
        <f ca="1">IF(INDIRECT(F$1&amp;"!$K$"&amp;$A217+12)="","",COUNTIFS(INDIRECT(F$1&amp;"!$K"&amp;$A$177+12&amp;":$K"&amp;$A217+12),Resultat!$AA$3))</f>
        <v/>
      </c>
    </row>
    <row r="218" spans="1:6" outlineLevel="1" x14ac:dyDescent="0.2">
      <c r="A218">
        <v>42</v>
      </c>
      <c r="B218" t="str">
        <f ca="1">IF(INDIRECT(B$1&amp;"!$K$"&amp;$A218+12)="","",COUNTIFS(INDIRECT(B$1&amp;"!$K"&amp;$A$177+12&amp;":$K"&amp;$A218+12),Resultat!$AA$3))</f>
        <v/>
      </c>
      <c r="C218" t="str">
        <f ca="1">IF(INDIRECT(C$1&amp;"!$K$"&amp;$A218+12)="","",COUNTIFS(INDIRECT(C$1&amp;"!$K"&amp;$A$177+12&amp;":$K"&amp;$A218+12),Resultat!$AA$3))</f>
        <v/>
      </c>
      <c r="D218" t="str">
        <f ca="1">IF(INDIRECT(D$1&amp;"!$K$"&amp;$A218+12)="","",COUNTIFS(INDIRECT(D$1&amp;"!$K"&amp;$A$177+12&amp;":$K"&amp;$A218+12),Resultat!$AA$3))</f>
        <v/>
      </c>
      <c r="E218" t="str">
        <f ca="1">IF(INDIRECT(E$1&amp;"!$K$"&amp;$A218+12)="","",COUNTIFS(INDIRECT(E$1&amp;"!$K"&amp;$A$177+12&amp;":$K"&amp;$A218+12),Resultat!$AA$3))</f>
        <v/>
      </c>
      <c r="F218" t="str">
        <f ca="1">IF(INDIRECT(F$1&amp;"!$K$"&amp;$A218+12)="","",COUNTIFS(INDIRECT(F$1&amp;"!$K"&amp;$A$177+12&amp;":$K"&amp;$A218+12),Resultat!$AA$3))</f>
        <v/>
      </c>
    </row>
    <row r="219" spans="1:6" outlineLevel="1" x14ac:dyDescent="0.2">
      <c r="A219">
        <v>43</v>
      </c>
      <c r="B219" t="str">
        <f ca="1">IF(INDIRECT(B$1&amp;"!$K$"&amp;$A219+12)="","",COUNTIFS(INDIRECT(B$1&amp;"!$K"&amp;$A$177+12&amp;":$K"&amp;$A219+12),Resultat!$AA$3))</f>
        <v/>
      </c>
      <c r="C219" t="str">
        <f ca="1">IF(INDIRECT(C$1&amp;"!$K$"&amp;$A219+12)="","",COUNTIFS(INDIRECT(C$1&amp;"!$K"&amp;$A$177+12&amp;":$K"&amp;$A219+12),Resultat!$AA$3))</f>
        <v/>
      </c>
      <c r="D219" t="str">
        <f ca="1">IF(INDIRECT(D$1&amp;"!$K$"&amp;$A219+12)="","",COUNTIFS(INDIRECT(D$1&amp;"!$K"&amp;$A$177+12&amp;":$K"&amp;$A219+12),Resultat!$AA$3))</f>
        <v/>
      </c>
      <c r="E219" t="str">
        <f ca="1">IF(INDIRECT(E$1&amp;"!$K$"&amp;$A219+12)="","",COUNTIFS(INDIRECT(E$1&amp;"!$K"&amp;$A$177+12&amp;":$K"&amp;$A219+12),Resultat!$AA$3))</f>
        <v/>
      </c>
      <c r="F219" t="str">
        <f ca="1">IF(INDIRECT(F$1&amp;"!$K$"&amp;$A219+12)="","",COUNTIFS(INDIRECT(F$1&amp;"!$K"&amp;$A$177+12&amp;":$K"&amp;$A219+12),Resultat!$AA$3))</f>
        <v/>
      </c>
    </row>
    <row r="220" spans="1:6" outlineLevel="1" x14ac:dyDescent="0.2">
      <c r="A220">
        <v>44</v>
      </c>
      <c r="B220" t="str">
        <f ca="1">IF(INDIRECT(B$1&amp;"!$K$"&amp;$A220+12)="","",COUNTIFS(INDIRECT(B$1&amp;"!$K"&amp;$A$177+12&amp;":$K"&amp;$A220+12),Resultat!$AA$3))</f>
        <v/>
      </c>
      <c r="C220" t="str">
        <f ca="1">IF(INDIRECT(C$1&amp;"!$K$"&amp;$A220+12)="","",COUNTIFS(INDIRECT(C$1&amp;"!$K"&amp;$A$177+12&amp;":$K"&amp;$A220+12),Resultat!$AA$3))</f>
        <v/>
      </c>
      <c r="D220" t="str">
        <f ca="1">IF(INDIRECT(D$1&amp;"!$K$"&amp;$A220+12)="","",COUNTIFS(INDIRECT(D$1&amp;"!$K"&amp;$A$177+12&amp;":$K"&amp;$A220+12),Resultat!$AA$3))</f>
        <v/>
      </c>
      <c r="E220" t="str">
        <f ca="1">IF(INDIRECT(E$1&amp;"!$K$"&amp;$A220+12)="","",COUNTIFS(INDIRECT(E$1&amp;"!$K"&amp;$A$177+12&amp;":$K"&amp;$A220+12),Resultat!$AA$3))</f>
        <v/>
      </c>
      <c r="F220" t="str">
        <f ca="1">IF(INDIRECT(F$1&amp;"!$K$"&amp;$A220+12)="","",COUNTIFS(INDIRECT(F$1&amp;"!$K"&amp;$A$177+12&amp;":$K"&amp;$A220+12),Resultat!$AA$3))</f>
        <v/>
      </c>
    </row>
    <row r="221" spans="1:6" outlineLevel="1" x14ac:dyDescent="0.2">
      <c r="A221">
        <v>45</v>
      </c>
      <c r="B221" t="str">
        <f ca="1">IF(INDIRECT(B$1&amp;"!$K$"&amp;$A221+12)="","",COUNTIFS(INDIRECT(B$1&amp;"!$K"&amp;$A$177+12&amp;":$K"&amp;$A221+12),Resultat!$AA$3))</f>
        <v/>
      </c>
      <c r="C221" t="str">
        <f ca="1">IF(INDIRECT(C$1&amp;"!$K$"&amp;$A221+12)="","",COUNTIFS(INDIRECT(C$1&amp;"!$K"&amp;$A$177+12&amp;":$K"&amp;$A221+12),Resultat!$AA$3))</f>
        <v/>
      </c>
      <c r="D221" t="str">
        <f ca="1">IF(INDIRECT(D$1&amp;"!$K$"&amp;$A221+12)="","",COUNTIFS(INDIRECT(D$1&amp;"!$K"&amp;$A$177+12&amp;":$K"&amp;$A221+12),Resultat!$AA$3))</f>
        <v/>
      </c>
      <c r="E221" t="str">
        <f ca="1">IF(INDIRECT(E$1&amp;"!$K$"&amp;$A221+12)="","",COUNTIFS(INDIRECT(E$1&amp;"!$K"&amp;$A$177+12&amp;":$K"&amp;$A221+12),Resultat!$AA$3))</f>
        <v/>
      </c>
      <c r="F221" t="str">
        <f ca="1">IF(INDIRECT(F$1&amp;"!$K$"&amp;$A221+12)="","",COUNTIFS(INDIRECT(F$1&amp;"!$K"&amp;$A$177+12&amp;":$K"&amp;$A221+12),Resultat!$AA$3))</f>
        <v/>
      </c>
    </row>
    <row r="222" spans="1:6" outlineLevel="1" x14ac:dyDescent="0.2">
      <c r="A222">
        <v>46</v>
      </c>
      <c r="B222" t="str">
        <f ca="1">IF(INDIRECT(B$1&amp;"!$K$"&amp;$A222+12)="","",COUNTIFS(INDIRECT(B$1&amp;"!$K"&amp;$A$177+12&amp;":$K"&amp;$A222+12),Resultat!$AA$3))</f>
        <v/>
      </c>
      <c r="C222" t="str">
        <f ca="1">IF(INDIRECT(C$1&amp;"!$K$"&amp;$A222+12)="","",COUNTIFS(INDIRECT(C$1&amp;"!$K"&amp;$A$177+12&amp;":$K"&amp;$A222+12),Resultat!$AA$3))</f>
        <v/>
      </c>
      <c r="D222" t="str">
        <f ca="1">IF(INDIRECT(D$1&amp;"!$K$"&amp;$A222+12)="","",COUNTIFS(INDIRECT(D$1&amp;"!$K"&amp;$A$177+12&amp;":$K"&amp;$A222+12),Resultat!$AA$3))</f>
        <v/>
      </c>
      <c r="E222" t="str">
        <f ca="1">IF(INDIRECT(E$1&amp;"!$K$"&amp;$A222+12)="","",COUNTIFS(INDIRECT(E$1&amp;"!$K"&amp;$A$177+12&amp;":$K"&amp;$A222+12),Resultat!$AA$3))</f>
        <v/>
      </c>
      <c r="F222" t="str">
        <f ca="1">IF(INDIRECT(F$1&amp;"!$K$"&amp;$A222+12)="","",COUNTIFS(INDIRECT(F$1&amp;"!$K"&amp;$A$177+12&amp;":$K"&amp;$A222+12),Resultat!$AA$3))</f>
        <v/>
      </c>
    </row>
    <row r="223" spans="1:6" outlineLevel="1" x14ac:dyDescent="0.2">
      <c r="A223">
        <v>47</v>
      </c>
      <c r="B223" t="str">
        <f ca="1">IF(INDIRECT(B$1&amp;"!$K$"&amp;$A223+12)="","",COUNTIFS(INDIRECT(B$1&amp;"!$K"&amp;$A$177+12&amp;":$K"&amp;$A223+12),Resultat!$AA$3))</f>
        <v/>
      </c>
      <c r="C223" t="str">
        <f ca="1">IF(INDIRECT(C$1&amp;"!$K$"&amp;$A223+12)="","",COUNTIFS(INDIRECT(C$1&amp;"!$K"&amp;$A$177+12&amp;":$K"&amp;$A223+12),Resultat!$AA$3))</f>
        <v/>
      </c>
      <c r="D223" t="str">
        <f ca="1">IF(INDIRECT(D$1&amp;"!$K$"&amp;$A223+12)="","",COUNTIFS(INDIRECT(D$1&amp;"!$K"&amp;$A$177+12&amp;":$K"&amp;$A223+12),Resultat!$AA$3))</f>
        <v/>
      </c>
      <c r="E223" t="str">
        <f ca="1">IF(INDIRECT(E$1&amp;"!$K$"&amp;$A223+12)="","",COUNTIFS(INDIRECT(E$1&amp;"!$K"&amp;$A$177+12&amp;":$K"&amp;$A223+12),Resultat!$AA$3))</f>
        <v/>
      </c>
      <c r="F223" t="str">
        <f ca="1">IF(INDIRECT(F$1&amp;"!$K$"&amp;$A223+12)="","",COUNTIFS(INDIRECT(F$1&amp;"!$K"&amp;$A$177+12&amp;":$K"&amp;$A223+12),Resultat!$AA$3))</f>
        <v/>
      </c>
    </row>
    <row r="224" spans="1:6" outlineLevel="1" x14ac:dyDescent="0.2">
      <c r="A224">
        <v>48</v>
      </c>
      <c r="B224" t="str">
        <f ca="1">IF(INDIRECT(B$1&amp;"!$K$"&amp;$A224+12)="","",COUNTIFS(INDIRECT(B$1&amp;"!$K"&amp;$A$177+12&amp;":$K"&amp;$A224+12),Resultat!$AA$3))</f>
        <v/>
      </c>
      <c r="C224" t="str">
        <f ca="1">IF(INDIRECT(C$1&amp;"!$K$"&amp;$A224+12)="","",COUNTIFS(INDIRECT(C$1&amp;"!$K"&amp;$A$177+12&amp;":$K"&amp;$A224+12),Resultat!$AA$3))</f>
        <v/>
      </c>
      <c r="D224" t="str">
        <f ca="1">IF(INDIRECT(D$1&amp;"!$K$"&amp;$A224+12)="","",COUNTIFS(INDIRECT(D$1&amp;"!$K"&amp;$A$177+12&amp;":$K"&amp;$A224+12),Resultat!$AA$3))</f>
        <v/>
      </c>
      <c r="E224" t="str">
        <f ca="1">IF(INDIRECT(E$1&amp;"!$K$"&amp;$A224+12)="","",COUNTIFS(INDIRECT(E$1&amp;"!$K"&amp;$A$177+12&amp;":$K"&amp;$A224+12),Resultat!$AA$3))</f>
        <v/>
      </c>
      <c r="F224" t="str">
        <f ca="1">IF(INDIRECT(F$1&amp;"!$K$"&amp;$A224+12)="","",COUNTIFS(INDIRECT(F$1&amp;"!$K"&amp;$A$177+12&amp;":$K"&amp;$A224+12),Resultat!$AA$3))</f>
        <v/>
      </c>
    </row>
    <row r="225" spans="1:9" outlineLevel="1" x14ac:dyDescent="0.2">
      <c r="A225">
        <v>49</v>
      </c>
      <c r="B225" t="str">
        <f ca="1">IF(INDIRECT(B$1&amp;"!$K$"&amp;$A225+12)="","",COUNTIFS(INDIRECT(B$1&amp;"!$K"&amp;$A$177+12&amp;":$K"&amp;$A225+12),Resultat!$AA$3))</f>
        <v/>
      </c>
      <c r="C225" t="str">
        <f ca="1">IF(INDIRECT(C$1&amp;"!$K$"&amp;$A225+12)="","",COUNTIFS(INDIRECT(C$1&amp;"!$K"&amp;$A$177+12&amp;":$K"&amp;$A225+12),Resultat!$AA$3))</f>
        <v/>
      </c>
      <c r="D225" t="str">
        <f ca="1">IF(INDIRECT(D$1&amp;"!$K$"&amp;$A225+12)="","",COUNTIFS(INDIRECT(D$1&amp;"!$K"&amp;$A$177+12&amp;":$K"&amp;$A225+12),Resultat!$AA$3))</f>
        <v/>
      </c>
      <c r="E225" t="str">
        <f ca="1">IF(INDIRECT(E$1&amp;"!$K$"&amp;$A225+12)="","",COUNTIFS(INDIRECT(E$1&amp;"!$K"&amp;$A$177+12&amp;":$K"&amp;$A225+12),Resultat!$AA$3))</f>
        <v/>
      </c>
      <c r="F225" t="str">
        <f ca="1">IF(INDIRECT(F$1&amp;"!$K$"&amp;$A225+12)="","",COUNTIFS(INDIRECT(F$1&amp;"!$K"&amp;$A$177+12&amp;":$K"&amp;$A225+12),Resultat!$AA$3))</f>
        <v/>
      </c>
    </row>
    <row r="226" spans="1:9" outlineLevel="1" x14ac:dyDescent="0.2">
      <c r="A226">
        <v>50</v>
      </c>
      <c r="B226" t="str">
        <f ca="1">IF(INDIRECT(B$1&amp;"!$K$"&amp;$A226+12)="","",COUNTIFS(INDIRECT(B$1&amp;"!$K"&amp;$A$177+12&amp;":$K"&amp;$A226+12),Resultat!$AA$3))</f>
        <v/>
      </c>
      <c r="C226" t="str">
        <f ca="1">IF(INDIRECT(C$1&amp;"!$K$"&amp;$A226+12)="","",COUNTIFS(INDIRECT(C$1&amp;"!$K"&amp;$A$177+12&amp;":$K"&amp;$A226+12),Resultat!$AA$3))</f>
        <v/>
      </c>
      <c r="D226" t="str">
        <f ca="1">IF(INDIRECT(D$1&amp;"!$K$"&amp;$A226+12)="","",COUNTIFS(INDIRECT(D$1&amp;"!$K"&amp;$A$177+12&amp;":$K"&amp;$A226+12),Resultat!$AA$3))</f>
        <v/>
      </c>
      <c r="E226" t="str">
        <f ca="1">IF(INDIRECT(E$1&amp;"!$K$"&amp;$A226+12)="","",COUNTIFS(INDIRECT(E$1&amp;"!$K"&amp;$A$177+12&amp;":$K"&amp;$A226+12),Resultat!$AA$3))</f>
        <v/>
      </c>
      <c r="F226" t="str">
        <f ca="1">IF(INDIRECT(F$1&amp;"!$K$"&amp;$A226+12)="","",COUNTIFS(INDIRECT(F$1&amp;"!$K"&amp;$A$177+12&amp;":$K"&amp;$A226+12),Resultat!$AA$3))</f>
        <v/>
      </c>
    </row>
    <row r="227" spans="1:9" outlineLevel="1" x14ac:dyDescent="0.2">
      <c r="A227">
        <v>51</v>
      </c>
      <c r="B227" t="str">
        <f ca="1">IF(INDIRECT(B$1&amp;"!$K$"&amp;$A227+12)="","",COUNTIFS(INDIRECT(B$1&amp;"!$K"&amp;$A$177+12&amp;":$K"&amp;$A227+12),Resultat!$AA$3))</f>
        <v/>
      </c>
      <c r="C227" t="str">
        <f ca="1">IF(INDIRECT(C$1&amp;"!$K$"&amp;$A227+12)="","",COUNTIFS(INDIRECT(C$1&amp;"!$K"&amp;$A$177+12&amp;":$K"&amp;$A227+12),Resultat!$AA$3))</f>
        <v/>
      </c>
      <c r="D227" t="str">
        <f ca="1">IF(INDIRECT(D$1&amp;"!$K$"&amp;$A227+12)="","",COUNTIFS(INDIRECT(D$1&amp;"!$K"&amp;$A$177+12&amp;":$K"&amp;$A227+12),Resultat!$AA$3))</f>
        <v/>
      </c>
      <c r="E227" t="str">
        <f ca="1">IF(INDIRECT(E$1&amp;"!$K$"&amp;$A227+12)="","",COUNTIFS(INDIRECT(E$1&amp;"!$K"&amp;$A$177+12&amp;":$K"&amp;$A227+12),Resultat!$AA$3))</f>
        <v/>
      </c>
      <c r="F227" t="str">
        <f ca="1">IF(INDIRECT(F$1&amp;"!$K$"&amp;$A227+12)="","",COUNTIFS(INDIRECT(F$1&amp;"!$K"&amp;$A$177+12&amp;":$K"&amp;$A227+12),Resultat!$AA$3))</f>
        <v/>
      </c>
    </row>
    <row r="230" spans="1:9" x14ac:dyDescent="0.2">
      <c r="B230" t="s">
        <v>103</v>
      </c>
    </row>
    <row r="231" spans="1:9" outlineLevel="1" x14ac:dyDescent="0.2">
      <c r="A231" t="s">
        <v>102</v>
      </c>
      <c r="B231" s="73" t="str">
        <f>B$1</f>
        <v>Jocke</v>
      </c>
      <c r="C231" s="73" t="str">
        <f t="shared" ref="C231:F231" si="123">C$1</f>
        <v>Markus</v>
      </c>
      <c r="D231" s="73" t="str">
        <f t="shared" si="123"/>
        <v>Rickard</v>
      </c>
      <c r="E231" s="73" t="str">
        <f t="shared" si="123"/>
        <v>Tomas</v>
      </c>
      <c r="F231" s="73" t="str">
        <f t="shared" si="123"/>
        <v>Kalle</v>
      </c>
      <c r="G231" s="73"/>
      <c r="H231" s="73"/>
      <c r="I231" s="73"/>
    </row>
    <row r="232" spans="1:9" outlineLevel="1" x14ac:dyDescent="0.2">
      <c r="A232">
        <v>1</v>
      </c>
      <c r="B232">
        <f ca="1">IF(Resultat!$H13="","",RANK(B12,$B12:INDIRECT(ADDRESS($A12+11,1+Resultat!$L$1,3,,))))</f>
        <v>1</v>
      </c>
      <c r="C232">
        <f ca="1">IF(Resultat!$H13="","",RANK(C12,$B12:INDIRECT(ADDRESS($A12+11,1+Resultat!$L$1,3,,))))</f>
        <v>4</v>
      </c>
      <c r="D232">
        <f ca="1">IF(Resultat!$H13="","",RANK(D12,$B12:INDIRECT(ADDRESS($A12+11,1+Resultat!$L$1,3,,))))</f>
        <v>4</v>
      </c>
      <c r="E232">
        <f ca="1">IF(Resultat!$H13="","",RANK(E12,$B12:INDIRECT(ADDRESS($A12+11,1+Resultat!$L$1,3,,))))</f>
        <v>1</v>
      </c>
      <c r="F232">
        <f ca="1">IF(Resultat!$H13="","",RANK(F12,$B12:INDIRECT(ADDRESS($A12+11,1+Resultat!$L$1,3,,))))</f>
        <v>1</v>
      </c>
    </row>
    <row r="233" spans="1:9" outlineLevel="1" x14ac:dyDescent="0.2">
      <c r="A233">
        <v>2</v>
      </c>
      <c r="B233">
        <f ca="1">IF(Resultat!$H14="","",RANK(B13,$B13:INDIRECT(ADDRESS($A13+11,1+Resultat!$L$1,3,,))))</f>
        <v>1</v>
      </c>
      <c r="C233">
        <f ca="1">IF(Resultat!$H14="","",RANK(C13,$B13:INDIRECT(ADDRESS($A13+11,1+Resultat!$L$1,3,,))))</f>
        <v>5</v>
      </c>
      <c r="D233">
        <f ca="1">IF(Resultat!$H14="","",RANK(D13,$B13:INDIRECT(ADDRESS($A13+11,1+Resultat!$L$1,3,,))))</f>
        <v>4</v>
      </c>
      <c r="E233">
        <f ca="1">IF(Resultat!$H14="","",RANK(E13,$B13:INDIRECT(ADDRESS($A13+11,1+Resultat!$L$1,3,,))))</f>
        <v>2</v>
      </c>
      <c r="F233">
        <f ca="1">IF(Resultat!$H14="","",RANK(F13,$B13:INDIRECT(ADDRESS($A13+11,1+Resultat!$L$1,3,,))))</f>
        <v>2</v>
      </c>
    </row>
    <row r="234" spans="1:9" outlineLevel="1" x14ac:dyDescent="0.2">
      <c r="A234">
        <v>3</v>
      </c>
      <c r="B234">
        <f ca="1">IF(Resultat!$H15="","",RANK(B14,$B14:INDIRECT(ADDRESS($A14+11,1+Resultat!$L$1,3,,))))</f>
        <v>1</v>
      </c>
      <c r="C234">
        <f ca="1">IF(Resultat!$H15="","",RANK(C14,$B14:INDIRECT(ADDRESS($A14+11,1+Resultat!$L$1,3,,))))</f>
        <v>5</v>
      </c>
      <c r="D234">
        <f ca="1">IF(Resultat!$H15="","",RANK(D14,$B14:INDIRECT(ADDRESS($A14+11,1+Resultat!$L$1,3,,))))</f>
        <v>4</v>
      </c>
      <c r="E234">
        <f ca="1">IF(Resultat!$H15="","",RANK(E14,$B14:INDIRECT(ADDRESS($A14+11,1+Resultat!$L$1,3,,))))</f>
        <v>2</v>
      </c>
      <c r="F234">
        <f ca="1">IF(Resultat!$H15="","",RANK(F14,$B14:INDIRECT(ADDRESS($A14+11,1+Resultat!$L$1,3,,))))</f>
        <v>3</v>
      </c>
    </row>
    <row r="235" spans="1:9" outlineLevel="1" x14ac:dyDescent="0.2">
      <c r="A235">
        <v>4</v>
      </c>
      <c r="B235">
        <f ca="1">IF(Resultat!$H16="","",RANK(B15,$B15:INDIRECT(ADDRESS($A15+11,1+Resultat!$L$1,3,,))))</f>
        <v>2</v>
      </c>
      <c r="C235">
        <f ca="1">IF(Resultat!$H16="","",RANK(C15,$B15:INDIRECT(ADDRESS($A15+11,1+Resultat!$L$1,3,,))))</f>
        <v>3</v>
      </c>
      <c r="D235">
        <f ca="1">IF(Resultat!$H16="","",RANK(D15,$B15:INDIRECT(ADDRESS($A15+11,1+Resultat!$L$1,3,,))))</f>
        <v>1</v>
      </c>
      <c r="E235">
        <f ca="1">IF(Resultat!$H16="","",RANK(E15,$B15:INDIRECT(ADDRESS($A15+11,1+Resultat!$L$1,3,,))))</f>
        <v>4</v>
      </c>
      <c r="F235">
        <f ca="1">IF(Resultat!$H16="","",RANK(F15,$B15:INDIRECT(ADDRESS($A15+11,1+Resultat!$L$1,3,,))))</f>
        <v>5</v>
      </c>
    </row>
    <row r="236" spans="1:9" outlineLevel="1" x14ac:dyDescent="0.2">
      <c r="A236">
        <v>5</v>
      </c>
      <c r="B236">
        <f ca="1">IF(Resultat!$H17="","",RANK(B16,$B16:INDIRECT(ADDRESS($A16+11,1+Resultat!$L$1,3,,))))</f>
        <v>2</v>
      </c>
      <c r="C236">
        <f ca="1">IF(Resultat!$H17="","",RANK(C16,$B16:INDIRECT(ADDRESS($A16+11,1+Resultat!$L$1,3,,))))</f>
        <v>3</v>
      </c>
      <c r="D236">
        <f ca="1">IF(Resultat!$H17="","",RANK(D16,$B16:INDIRECT(ADDRESS($A16+11,1+Resultat!$L$1,3,,))))</f>
        <v>1</v>
      </c>
      <c r="E236">
        <f ca="1">IF(Resultat!$H17="","",RANK(E16,$B16:INDIRECT(ADDRESS($A16+11,1+Resultat!$L$1,3,,))))</f>
        <v>4</v>
      </c>
      <c r="F236">
        <f ca="1">IF(Resultat!$H17="","",RANK(F16,$B16:INDIRECT(ADDRESS($A16+11,1+Resultat!$L$1,3,,))))</f>
        <v>5</v>
      </c>
    </row>
    <row r="237" spans="1:9" outlineLevel="1" x14ac:dyDescent="0.2">
      <c r="A237">
        <v>6</v>
      </c>
      <c r="B237">
        <f ca="1">IF(Resultat!$H18="","",RANK(B17,$B17:INDIRECT(ADDRESS($A17+11,1+Resultat!$L$1,3,,))))</f>
        <v>3</v>
      </c>
      <c r="C237">
        <f ca="1">IF(Resultat!$H18="","",RANK(C17,$B17:INDIRECT(ADDRESS($A17+11,1+Resultat!$L$1,3,,))))</f>
        <v>2</v>
      </c>
      <c r="D237">
        <f ca="1">IF(Resultat!$H18="","",RANK(D17,$B17:INDIRECT(ADDRESS($A17+11,1+Resultat!$L$1,3,,))))</f>
        <v>1</v>
      </c>
      <c r="E237">
        <f ca="1">IF(Resultat!$H18="","",RANK(E17,$B17:INDIRECT(ADDRESS($A17+11,1+Resultat!$L$1,3,,))))</f>
        <v>4</v>
      </c>
      <c r="F237">
        <f ca="1">IF(Resultat!$H18="","",RANK(F17,$B17:INDIRECT(ADDRESS($A17+11,1+Resultat!$L$1,3,,))))</f>
        <v>5</v>
      </c>
    </row>
    <row r="238" spans="1:9" outlineLevel="1" x14ac:dyDescent="0.2">
      <c r="A238">
        <v>7</v>
      </c>
      <c r="B238">
        <f ca="1">IF(Resultat!$H19="","",RANK(B18,$B18:INDIRECT(ADDRESS($A18+11,1+Resultat!$L$1,3,,))))</f>
        <v>3</v>
      </c>
      <c r="C238">
        <f ca="1">IF(Resultat!$H19="","",RANK(C18,$B18:INDIRECT(ADDRESS($A18+11,1+Resultat!$L$1,3,,))))</f>
        <v>2</v>
      </c>
      <c r="D238">
        <f ca="1">IF(Resultat!$H19="","",RANK(D18,$B18:INDIRECT(ADDRESS($A18+11,1+Resultat!$L$1,3,,))))</f>
        <v>1</v>
      </c>
      <c r="E238">
        <f ca="1">IF(Resultat!$H19="","",RANK(E18,$B18:INDIRECT(ADDRESS($A18+11,1+Resultat!$L$1,3,,))))</f>
        <v>4</v>
      </c>
      <c r="F238">
        <f ca="1">IF(Resultat!$H19="","",RANK(F18,$B18:INDIRECT(ADDRESS($A18+11,1+Resultat!$L$1,3,,))))</f>
        <v>5</v>
      </c>
    </row>
    <row r="239" spans="1:9" outlineLevel="1" x14ac:dyDescent="0.2">
      <c r="A239">
        <v>8</v>
      </c>
      <c r="B239">
        <f ca="1">IF(Resultat!$H20="","",RANK(B19,$B19:INDIRECT(ADDRESS($A19+11,1+Resultat!$L$1,3,,))))</f>
        <v>3</v>
      </c>
      <c r="C239">
        <f ca="1">IF(Resultat!$H20="","",RANK(C19,$B19:INDIRECT(ADDRESS($A19+11,1+Resultat!$L$1,3,,))))</f>
        <v>1</v>
      </c>
      <c r="D239">
        <f ca="1">IF(Resultat!$H20="","",RANK(D19,$B19:INDIRECT(ADDRESS($A19+11,1+Resultat!$L$1,3,,))))</f>
        <v>1</v>
      </c>
      <c r="E239">
        <f ca="1">IF(Resultat!$H20="","",RANK(E19,$B19:INDIRECT(ADDRESS($A19+11,1+Resultat!$L$1,3,,))))</f>
        <v>4</v>
      </c>
      <c r="F239">
        <f ca="1">IF(Resultat!$H20="","",RANK(F19,$B19:INDIRECT(ADDRESS($A19+11,1+Resultat!$L$1,3,,))))</f>
        <v>5</v>
      </c>
    </row>
    <row r="240" spans="1:9" outlineLevel="1" x14ac:dyDescent="0.2">
      <c r="A240">
        <v>9</v>
      </c>
      <c r="B240">
        <f ca="1">IF(Resultat!$H21="","",RANK(B20,$B20:INDIRECT(ADDRESS($A20+11,1+Resultat!$L$1,3,,))))</f>
        <v>3</v>
      </c>
      <c r="C240">
        <f ca="1">IF(Resultat!$H21="","",RANK(C20,$B20:INDIRECT(ADDRESS($A20+11,1+Resultat!$L$1,3,,))))</f>
        <v>1</v>
      </c>
      <c r="D240">
        <f ca="1">IF(Resultat!$H21="","",RANK(D20,$B20:INDIRECT(ADDRESS($A20+11,1+Resultat!$L$1,3,,))))</f>
        <v>1</v>
      </c>
      <c r="E240">
        <f ca="1">IF(Resultat!$H21="","",RANK(E20,$B20:INDIRECT(ADDRESS($A20+11,1+Resultat!$L$1,3,,))))</f>
        <v>3</v>
      </c>
      <c r="F240">
        <f ca="1">IF(Resultat!$H21="","",RANK(F20,$B20:INDIRECT(ADDRESS($A20+11,1+Resultat!$L$1,3,,))))</f>
        <v>5</v>
      </c>
    </row>
    <row r="241" spans="1:6" outlineLevel="1" x14ac:dyDescent="0.2">
      <c r="A241">
        <v>10</v>
      </c>
      <c r="B241">
        <f ca="1">IF(Resultat!$H22="","",RANK(B21,$B21:INDIRECT(ADDRESS($A21+11,1+Resultat!$L$1,3,,))))</f>
        <v>3</v>
      </c>
      <c r="C241">
        <f ca="1">IF(Resultat!$H22="","",RANK(C21,$B21:INDIRECT(ADDRESS($A21+11,1+Resultat!$L$1,3,,))))</f>
        <v>1</v>
      </c>
      <c r="D241">
        <f ca="1">IF(Resultat!$H22="","",RANK(D21,$B21:INDIRECT(ADDRESS($A21+11,1+Resultat!$L$1,3,,))))</f>
        <v>1</v>
      </c>
      <c r="E241">
        <f ca="1">IF(Resultat!$H22="","",RANK(E21,$B21:INDIRECT(ADDRESS($A21+11,1+Resultat!$L$1,3,,))))</f>
        <v>3</v>
      </c>
      <c r="F241">
        <f ca="1">IF(Resultat!$H22="","",RANK(F21,$B21:INDIRECT(ADDRESS($A21+11,1+Resultat!$L$1,3,,))))</f>
        <v>5</v>
      </c>
    </row>
    <row r="242" spans="1:6" outlineLevel="1" x14ac:dyDescent="0.2">
      <c r="A242">
        <v>11</v>
      </c>
      <c r="B242">
        <f ca="1">IF(Resultat!$H23="","",RANK(B22,$B22:INDIRECT(ADDRESS($A22+11,1+Resultat!$L$1,3,,))))</f>
        <v>3</v>
      </c>
      <c r="C242">
        <f ca="1">IF(Resultat!$H23="","",RANK(C22,$B22:INDIRECT(ADDRESS($A22+11,1+Resultat!$L$1,3,,))))</f>
        <v>1</v>
      </c>
      <c r="D242">
        <f ca="1">IF(Resultat!$H23="","",RANK(D22,$B22:INDIRECT(ADDRESS($A22+11,1+Resultat!$L$1,3,,))))</f>
        <v>1</v>
      </c>
      <c r="E242">
        <f ca="1">IF(Resultat!$H23="","",RANK(E22,$B22:INDIRECT(ADDRESS($A22+11,1+Resultat!$L$1,3,,))))</f>
        <v>3</v>
      </c>
      <c r="F242">
        <f ca="1">IF(Resultat!$H23="","",RANK(F22,$B22:INDIRECT(ADDRESS($A22+11,1+Resultat!$L$1,3,,))))</f>
        <v>5</v>
      </c>
    </row>
    <row r="243" spans="1:6" outlineLevel="1" x14ac:dyDescent="0.2">
      <c r="A243">
        <v>12</v>
      </c>
      <c r="B243">
        <f ca="1">IF(Resultat!$H24="","",RANK(B23,$B23:INDIRECT(ADDRESS($A23+11,1+Resultat!$L$1,3,,))))</f>
        <v>3</v>
      </c>
      <c r="C243">
        <f ca="1">IF(Resultat!$H24="","",RANK(C23,$B23:INDIRECT(ADDRESS($A23+11,1+Resultat!$L$1,3,,))))</f>
        <v>1</v>
      </c>
      <c r="D243">
        <f ca="1">IF(Resultat!$H24="","",RANK(D23,$B23:INDIRECT(ADDRESS($A23+11,1+Resultat!$L$1,3,,))))</f>
        <v>1</v>
      </c>
      <c r="E243">
        <f ca="1">IF(Resultat!$H24="","",RANK(E23,$B23:INDIRECT(ADDRESS($A23+11,1+Resultat!$L$1,3,,))))</f>
        <v>3</v>
      </c>
      <c r="F243">
        <f ca="1">IF(Resultat!$H24="","",RANK(F23,$B23:INDIRECT(ADDRESS($A23+11,1+Resultat!$L$1,3,,))))</f>
        <v>5</v>
      </c>
    </row>
    <row r="244" spans="1:6" outlineLevel="1" x14ac:dyDescent="0.2">
      <c r="A244">
        <v>13</v>
      </c>
      <c r="B244">
        <f ca="1">IF(Resultat!$H25="","",RANK(B24,$B24:INDIRECT(ADDRESS($A24+11,1+Resultat!$L$1,3,,))))</f>
        <v>3</v>
      </c>
      <c r="C244">
        <f ca="1">IF(Resultat!$H25="","",RANK(C24,$B24:INDIRECT(ADDRESS($A24+11,1+Resultat!$L$1,3,,))))</f>
        <v>1</v>
      </c>
      <c r="D244">
        <f ca="1">IF(Resultat!$H25="","",RANK(D24,$B24:INDIRECT(ADDRESS($A24+11,1+Resultat!$L$1,3,,))))</f>
        <v>2</v>
      </c>
      <c r="E244">
        <f ca="1">IF(Resultat!$H25="","",RANK(E24,$B24:INDIRECT(ADDRESS($A24+11,1+Resultat!$L$1,3,,))))</f>
        <v>3</v>
      </c>
      <c r="F244">
        <f ca="1">IF(Resultat!$H25="","",RANK(F24,$B24:INDIRECT(ADDRESS($A24+11,1+Resultat!$L$1,3,,))))</f>
        <v>5</v>
      </c>
    </row>
    <row r="245" spans="1:6" outlineLevel="1" x14ac:dyDescent="0.2">
      <c r="A245">
        <v>14</v>
      </c>
      <c r="B245">
        <f ca="1">IF(Resultat!$H26="","",RANK(B25,$B25:INDIRECT(ADDRESS($A25+11,1+Resultat!$L$1,3,,))))</f>
        <v>3</v>
      </c>
      <c r="C245">
        <f ca="1">IF(Resultat!$H26="","",RANK(C25,$B25:INDIRECT(ADDRESS($A25+11,1+Resultat!$L$1,3,,))))</f>
        <v>1</v>
      </c>
      <c r="D245">
        <f ca="1">IF(Resultat!$H26="","",RANK(D25,$B25:INDIRECT(ADDRESS($A25+11,1+Resultat!$L$1,3,,))))</f>
        <v>2</v>
      </c>
      <c r="E245">
        <f ca="1">IF(Resultat!$H26="","",RANK(E25,$B25:INDIRECT(ADDRESS($A25+11,1+Resultat!$L$1,3,,))))</f>
        <v>3</v>
      </c>
      <c r="F245">
        <f ca="1">IF(Resultat!$H26="","",RANK(F25,$B25:INDIRECT(ADDRESS($A25+11,1+Resultat!$L$1,3,,))))</f>
        <v>5</v>
      </c>
    </row>
    <row r="246" spans="1:6" outlineLevel="1" x14ac:dyDescent="0.2">
      <c r="A246">
        <v>15</v>
      </c>
      <c r="B246">
        <f ca="1">IF(Resultat!$H27="","",RANK(B26,$B26:INDIRECT(ADDRESS($A26+11,1+Resultat!$L$1,3,,))))</f>
        <v>3</v>
      </c>
      <c r="C246">
        <f ca="1">IF(Resultat!$H27="","",RANK(C26,$B26:INDIRECT(ADDRESS($A26+11,1+Resultat!$L$1,3,,))))</f>
        <v>1</v>
      </c>
      <c r="D246">
        <f ca="1">IF(Resultat!$H27="","",RANK(D26,$B26:INDIRECT(ADDRESS($A26+11,1+Resultat!$L$1,3,,))))</f>
        <v>2</v>
      </c>
      <c r="E246">
        <f ca="1">IF(Resultat!$H27="","",RANK(E26,$B26:INDIRECT(ADDRESS($A26+11,1+Resultat!$L$1,3,,))))</f>
        <v>3</v>
      </c>
      <c r="F246">
        <f ca="1">IF(Resultat!$H27="","",RANK(F26,$B26:INDIRECT(ADDRESS($A26+11,1+Resultat!$L$1,3,,))))</f>
        <v>5</v>
      </c>
    </row>
    <row r="247" spans="1:6" outlineLevel="1" x14ac:dyDescent="0.2">
      <c r="A247">
        <v>16</v>
      </c>
      <c r="B247">
        <f ca="1">IF(Resultat!$H28="","",RANK(B27,$B27:INDIRECT(ADDRESS($A27+11,1+Resultat!$L$1,3,,))))</f>
        <v>3</v>
      </c>
      <c r="C247">
        <f ca="1">IF(Resultat!$H28="","",RANK(C27,$B27:INDIRECT(ADDRESS($A27+11,1+Resultat!$L$1,3,,))))</f>
        <v>1</v>
      </c>
      <c r="D247">
        <f ca="1">IF(Resultat!$H28="","",RANK(D27,$B27:INDIRECT(ADDRESS($A27+11,1+Resultat!$L$1,3,,))))</f>
        <v>2</v>
      </c>
      <c r="E247">
        <f ca="1">IF(Resultat!$H28="","",RANK(E27,$B27:INDIRECT(ADDRESS($A27+11,1+Resultat!$L$1,3,,))))</f>
        <v>3</v>
      </c>
      <c r="F247">
        <f ca="1">IF(Resultat!$H28="","",RANK(F27,$B27:INDIRECT(ADDRESS($A27+11,1+Resultat!$L$1,3,,))))</f>
        <v>5</v>
      </c>
    </row>
    <row r="248" spans="1:6" outlineLevel="1" x14ac:dyDescent="0.2">
      <c r="A248">
        <v>17</v>
      </c>
      <c r="B248">
        <f ca="1">IF(Resultat!$H29="","",RANK(B28,$B28:INDIRECT(ADDRESS($A28+11,1+Resultat!$L$1,3,,))))</f>
        <v>3</v>
      </c>
      <c r="C248">
        <f ca="1">IF(Resultat!$H29="","",RANK(C28,$B28:INDIRECT(ADDRESS($A28+11,1+Resultat!$L$1,3,,))))</f>
        <v>1</v>
      </c>
      <c r="D248">
        <f ca="1">IF(Resultat!$H29="","",RANK(D28,$B28:INDIRECT(ADDRESS($A28+11,1+Resultat!$L$1,3,,))))</f>
        <v>2</v>
      </c>
      <c r="E248">
        <f ca="1">IF(Resultat!$H29="","",RANK(E28,$B28:INDIRECT(ADDRESS($A28+11,1+Resultat!$L$1,3,,))))</f>
        <v>4</v>
      </c>
      <c r="F248">
        <f ca="1">IF(Resultat!$H29="","",RANK(F28,$B28:INDIRECT(ADDRESS($A28+11,1+Resultat!$L$1,3,,))))</f>
        <v>5</v>
      </c>
    </row>
    <row r="249" spans="1:6" outlineLevel="1" x14ac:dyDescent="0.2">
      <c r="A249">
        <v>18</v>
      </c>
      <c r="B249">
        <f ca="1">IF(Resultat!$H30="","",RANK(B29,$B29:INDIRECT(ADDRESS($A29+11,1+Resultat!$L$1,3,,))))</f>
        <v>3</v>
      </c>
      <c r="C249">
        <f ca="1">IF(Resultat!$H30="","",RANK(C29,$B29:INDIRECT(ADDRESS($A29+11,1+Resultat!$L$1,3,,))))</f>
        <v>1</v>
      </c>
      <c r="D249">
        <f ca="1">IF(Resultat!$H30="","",RANK(D29,$B29:INDIRECT(ADDRESS($A29+11,1+Resultat!$L$1,3,,))))</f>
        <v>2</v>
      </c>
      <c r="E249">
        <f ca="1">IF(Resultat!$H30="","",RANK(E29,$B29:INDIRECT(ADDRESS($A29+11,1+Resultat!$L$1,3,,))))</f>
        <v>4</v>
      </c>
      <c r="F249">
        <f ca="1">IF(Resultat!$H30="","",RANK(F29,$B29:INDIRECT(ADDRESS($A29+11,1+Resultat!$L$1,3,,))))</f>
        <v>5</v>
      </c>
    </row>
    <row r="250" spans="1:6" outlineLevel="1" x14ac:dyDescent="0.2">
      <c r="A250">
        <v>19</v>
      </c>
      <c r="B250">
        <f ca="1">IF(Resultat!$H31="","",RANK(B30,$B30:INDIRECT(ADDRESS($A30+11,1+Resultat!$L$1,3,,))))</f>
        <v>3</v>
      </c>
      <c r="C250">
        <f ca="1">IF(Resultat!$H31="","",RANK(C30,$B30:INDIRECT(ADDRESS($A30+11,1+Resultat!$L$1,3,,))))</f>
        <v>1</v>
      </c>
      <c r="D250">
        <f ca="1">IF(Resultat!$H31="","",RANK(D30,$B30:INDIRECT(ADDRESS($A30+11,1+Resultat!$L$1,3,,))))</f>
        <v>2</v>
      </c>
      <c r="E250">
        <f ca="1">IF(Resultat!$H31="","",RANK(E30,$B30:INDIRECT(ADDRESS($A30+11,1+Resultat!$L$1,3,,))))</f>
        <v>4</v>
      </c>
      <c r="F250">
        <f ca="1">IF(Resultat!$H31="","",RANK(F30,$B30:INDIRECT(ADDRESS($A30+11,1+Resultat!$L$1,3,,))))</f>
        <v>5</v>
      </c>
    </row>
    <row r="251" spans="1:6" outlineLevel="1" x14ac:dyDescent="0.2">
      <c r="A251">
        <v>20</v>
      </c>
      <c r="B251">
        <f ca="1">IF(Resultat!$H32="","",RANK(B31,$B31:INDIRECT(ADDRESS($A31+11,1+Resultat!$L$1,3,,))))</f>
        <v>3</v>
      </c>
      <c r="C251">
        <f ca="1">IF(Resultat!$H32="","",RANK(C31,$B31:INDIRECT(ADDRESS($A31+11,1+Resultat!$L$1,3,,))))</f>
        <v>1</v>
      </c>
      <c r="D251">
        <f ca="1">IF(Resultat!$H32="","",RANK(D31,$B31:INDIRECT(ADDRESS($A31+11,1+Resultat!$L$1,3,,))))</f>
        <v>2</v>
      </c>
      <c r="E251">
        <f ca="1">IF(Resultat!$H32="","",RANK(E31,$B31:INDIRECT(ADDRESS($A31+11,1+Resultat!$L$1,3,,))))</f>
        <v>4</v>
      </c>
      <c r="F251">
        <f ca="1">IF(Resultat!$H32="","",RANK(F31,$B31:INDIRECT(ADDRESS($A31+11,1+Resultat!$L$1,3,,))))</f>
        <v>5</v>
      </c>
    </row>
    <row r="252" spans="1:6" outlineLevel="1" x14ac:dyDescent="0.2">
      <c r="A252">
        <v>21</v>
      </c>
      <c r="B252">
        <f ca="1">IF(Resultat!$H33="","",RANK(B32,$B32:INDIRECT(ADDRESS($A32+11,1+Resultat!$L$1,3,,))))</f>
        <v>3</v>
      </c>
      <c r="C252">
        <f ca="1">IF(Resultat!$H33="","",RANK(C32,$B32:INDIRECT(ADDRESS($A32+11,1+Resultat!$L$1,3,,))))</f>
        <v>1</v>
      </c>
      <c r="D252">
        <f ca="1">IF(Resultat!$H33="","",RANK(D32,$B32:INDIRECT(ADDRESS($A32+11,1+Resultat!$L$1,3,,))))</f>
        <v>2</v>
      </c>
      <c r="E252">
        <f ca="1">IF(Resultat!$H33="","",RANK(E32,$B32:INDIRECT(ADDRESS($A32+11,1+Resultat!$L$1,3,,))))</f>
        <v>4</v>
      </c>
      <c r="F252">
        <f ca="1">IF(Resultat!$H33="","",RANK(F32,$B32:INDIRECT(ADDRESS($A32+11,1+Resultat!$L$1,3,,))))</f>
        <v>5</v>
      </c>
    </row>
    <row r="253" spans="1:6" outlineLevel="1" x14ac:dyDescent="0.2">
      <c r="A253">
        <v>22</v>
      </c>
      <c r="B253">
        <f ca="1">IF(Resultat!$H34="","",RANK(B33,$B33:INDIRECT(ADDRESS($A33+11,1+Resultat!$L$1,3,,))))</f>
        <v>3</v>
      </c>
      <c r="C253">
        <f ca="1">IF(Resultat!$H34="","",RANK(C33,$B33:INDIRECT(ADDRESS($A33+11,1+Resultat!$L$1,3,,))))</f>
        <v>1</v>
      </c>
      <c r="D253">
        <f ca="1">IF(Resultat!$H34="","",RANK(D33,$B33:INDIRECT(ADDRESS($A33+11,1+Resultat!$L$1,3,,))))</f>
        <v>2</v>
      </c>
      <c r="E253">
        <f ca="1">IF(Resultat!$H34="","",RANK(E33,$B33:INDIRECT(ADDRESS($A33+11,1+Resultat!$L$1,3,,))))</f>
        <v>4</v>
      </c>
      <c r="F253">
        <f ca="1">IF(Resultat!$H34="","",RANK(F33,$B33:INDIRECT(ADDRESS($A33+11,1+Resultat!$L$1,3,,))))</f>
        <v>5</v>
      </c>
    </row>
    <row r="254" spans="1:6" outlineLevel="1" x14ac:dyDescent="0.2">
      <c r="A254">
        <v>23</v>
      </c>
      <c r="B254">
        <f ca="1">IF(Resultat!$H35="","",RANK(B34,$B34:INDIRECT(ADDRESS($A34+11,1+Resultat!$L$1,3,,))))</f>
        <v>3</v>
      </c>
      <c r="C254">
        <f ca="1">IF(Resultat!$H35="","",RANK(C34,$B34:INDIRECT(ADDRESS($A34+11,1+Resultat!$L$1,3,,))))</f>
        <v>1</v>
      </c>
      <c r="D254">
        <f ca="1">IF(Resultat!$H35="","",RANK(D34,$B34:INDIRECT(ADDRESS($A34+11,1+Resultat!$L$1,3,,))))</f>
        <v>2</v>
      </c>
      <c r="E254">
        <f ca="1">IF(Resultat!$H35="","",RANK(E34,$B34:INDIRECT(ADDRESS($A34+11,1+Resultat!$L$1,3,,))))</f>
        <v>4</v>
      </c>
      <c r="F254">
        <f ca="1">IF(Resultat!$H35="","",RANK(F34,$B34:INDIRECT(ADDRESS($A34+11,1+Resultat!$L$1,3,,))))</f>
        <v>5</v>
      </c>
    </row>
    <row r="255" spans="1:6" outlineLevel="1" x14ac:dyDescent="0.2">
      <c r="A255">
        <v>24</v>
      </c>
      <c r="B255">
        <f ca="1">IF(Resultat!$H36="","",RANK(B35,$B35:INDIRECT(ADDRESS($A35+11,1+Resultat!$L$1,3,,))))</f>
        <v>3</v>
      </c>
      <c r="C255">
        <f ca="1">IF(Resultat!$H36="","",RANK(C35,$B35:INDIRECT(ADDRESS($A35+11,1+Resultat!$L$1,3,,))))</f>
        <v>1</v>
      </c>
      <c r="D255">
        <f ca="1">IF(Resultat!$H36="","",RANK(D35,$B35:INDIRECT(ADDRESS($A35+11,1+Resultat!$L$1,3,,))))</f>
        <v>2</v>
      </c>
      <c r="E255">
        <f ca="1">IF(Resultat!$H36="","",RANK(E35,$B35:INDIRECT(ADDRESS($A35+11,1+Resultat!$L$1,3,,))))</f>
        <v>4</v>
      </c>
      <c r="F255">
        <f ca="1">IF(Resultat!$H36="","",RANK(F35,$B35:INDIRECT(ADDRESS($A35+11,1+Resultat!$L$1,3,,))))</f>
        <v>5</v>
      </c>
    </row>
    <row r="256" spans="1:6" outlineLevel="1" x14ac:dyDescent="0.2">
      <c r="A256">
        <v>25</v>
      </c>
      <c r="B256">
        <f ca="1">IF(Resultat!$H37="","",RANK(B36,$B36:INDIRECT(ADDRESS($A36+11,1+Resultat!$L$1,3,,))))</f>
        <v>3</v>
      </c>
      <c r="C256">
        <f ca="1">IF(Resultat!$H37="","",RANK(C36,$B36:INDIRECT(ADDRESS($A36+11,1+Resultat!$L$1,3,,))))</f>
        <v>1</v>
      </c>
      <c r="D256">
        <f ca="1">IF(Resultat!$H37="","",RANK(D36,$B36:INDIRECT(ADDRESS($A36+11,1+Resultat!$L$1,3,,))))</f>
        <v>2</v>
      </c>
      <c r="E256">
        <f ca="1">IF(Resultat!$H37="","",RANK(E36,$B36:INDIRECT(ADDRESS($A36+11,1+Resultat!$L$1,3,,))))</f>
        <v>4</v>
      </c>
      <c r="F256">
        <f ca="1">IF(Resultat!$H37="","",RANK(F36,$B36:INDIRECT(ADDRESS($A36+11,1+Resultat!$L$1,3,,))))</f>
        <v>5</v>
      </c>
    </row>
    <row r="257" spans="1:6" outlineLevel="1" x14ac:dyDescent="0.2">
      <c r="A257">
        <v>26</v>
      </c>
      <c r="B257">
        <f ca="1">IF(Resultat!$H38="","",RANK(B37,$B37:INDIRECT(ADDRESS($A37+11,1+Resultat!$L$1,3,,))))</f>
        <v>3</v>
      </c>
      <c r="C257">
        <f ca="1">IF(Resultat!$H38="","",RANK(C37,$B37:INDIRECT(ADDRESS($A37+11,1+Resultat!$L$1,3,,))))</f>
        <v>1</v>
      </c>
      <c r="D257">
        <f ca="1">IF(Resultat!$H38="","",RANK(D37,$B37:INDIRECT(ADDRESS($A37+11,1+Resultat!$L$1,3,,))))</f>
        <v>2</v>
      </c>
      <c r="E257">
        <f ca="1">IF(Resultat!$H38="","",RANK(E37,$B37:INDIRECT(ADDRESS($A37+11,1+Resultat!$L$1,3,,))))</f>
        <v>4</v>
      </c>
      <c r="F257">
        <f ca="1">IF(Resultat!$H38="","",RANK(F37,$B37:INDIRECT(ADDRESS($A37+11,1+Resultat!$L$1,3,,))))</f>
        <v>5</v>
      </c>
    </row>
    <row r="258" spans="1:6" outlineLevel="1" x14ac:dyDescent="0.2">
      <c r="A258">
        <v>27</v>
      </c>
      <c r="B258">
        <f ca="1">IF(Resultat!$H39="","",RANK(B38,$B38:INDIRECT(ADDRESS($A38+11,1+Resultat!$L$1,3,,))))</f>
        <v>3</v>
      </c>
      <c r="C258">
        <f ca="1">IF(Resultat!$H39="","",RANK(C38,$B38:INDIRECT(ADDRESS($A38+11,1+Resultat!$L$1,3,,))))</f>
        <v>2</v>
      </c>
      <c r="D258">
        <f ca="1">IF(Resultat!$H39="","",RANK(D38,$B38:INDIRECT(ADDRESS($A38+11,1+Resultat!$L$1,3,,))))</f>
        <v>1</v>
      </c>
      <c r="E258">
        <f ca="1">IF(Resultat!$H39="","",RANK(E38,$B38:INDIRECT(ADDRESS($A38+11,1+Resultat!$L$1,3,,))))</f>
        <v>4</v>
      </c>
      <c r="F258">
        <f ca="1">IF(Resultat!$H39="","",RANK(F38,$B38:INDIRECT(ADDRESS($A38+11,1+Resultat!$L$1,3,,))))</f>
        <v>5</v>
      </c>
    </row>
    <row r="259" spans="1:6" outlineLevel="1" x14ac:dyDescent="0.2">
      <c r="A259">
        <v>28</v>
      </c>
      <c r="B259">
        <f ca="1">IF(Resultat!$H40="","",RANK(B39,$B39:INDIRECT(ADDRESS($A39+11,1+Resultat!$L$1,3,,))))</f>
        <v>3</v>
      </c>
      <c r="C259">
        <f ca="1">IF(Resultat!$H40="","",RANK(C39,$B39:INDIRECT(ADDRESS($A39+11,1+Resultat!$L$1,3,,))))</f>
        <v>2</v>
      </c>
      <c r="D259">
        <f ca="1">IF(Resultat!$H40="","",RANK(D39,$B39:INDIRECT(ADDRESS($A39+11,1+Resultat!$L$1,3,,))))</f>
        <v>1</v>
      </c>
      <c r="E259">
        <f ca="1">IF(Resultat!$H40="","",RANK(E39,$B39:INDIRECT(ADDRESS($A39+11,1+Resultat!$L$1,3,,))))</f>
        <v>4</v>
      </c>
      <c r="F259">
        <f ca="1">IF(Resultat!$H40="","",RANK(F39,$B39:INDIRECT(ADDRESS($A39+11,1+Resultat!$L$1,3,,))))</f>
        <v>5</v>
      </c>
    </row>
    <row r="260" spans="1:6" outlineLevel="1" x14ac:dyDescent="0.2">
      <c r="A260">
        <v>29</v>
      </c>
      <c r="B260">
        <f ca="1">IF(Resultat!$H41="","",RANK(B40,$B40:INDIRECT(ADDRESS($A40+11,1+Resultat!$L$1,3,,))))</f>
        <v>3</v>
      </c>
      <c r="C260">
        <f ca="1">IF(Resultat!$H41="","",RANK(C40,$B40:INDIRECT(ADDRESS($A40+11,1+Resultat!$L$1,3,,))))</f>
        <v>2</v>
      </c>
      <c r="D260">
        <f ca="1">IF(Resultat!$H41="","",RANK(D40,$B40:INDIRECT(ADDRESS($A40+11,1+Resultat!$L$1,3,,))))</f>
        <v>1</v>
      </c>
      <c r="E260">
        <f ca="1">IF(Resultat!$H41="","",RANK(E40,$B40:INDIRECT(ADDRESS($A40+11,1+Resultat!$L$1,3,,))))</f>
        <v>4</v>
      </c>
      <c r="F260">
        <f ca="1">IF(Resultat!$H41="","",RANK(F40,$B40:INDIRECT(ADDRESS($A40+11,1+Resultat!$L$1,3,,))))</f>
        <v>5</v>
      </c>
    </row>
    <row r="261" spans="1:6" outlineLevel="1" x14ac:dyDescent="0.2">
      <c r="A261">
        <v>30</v>
      </c>
      <c r="B261">
        <f ca="1">IF(Resultat!$H42="","",RANK(B41,$B41:INDIRECT(ADDRESS($A41+11,1+Resultat!$L$1,3,,))))</f>
        <v>3</v>
      </c>
      <c r="C261">
        <f ca="1">IF(Resultat!$H42="","",RANK(C41,$B41:INDIRECT(ADDRESS($A41+11,1+Resultat!$L$1,3,,))))</f>
        <v>2</v>
      </c>
      <c r="D261">
        <f ca="1">IF(Resultat!$H42="","",RANK(D41,$B41:INDIRECT(ADDRESS($A41+11,1+Resultat!$L$1,3,,))))</f>
        <v>1</v>
      </c>
      <c r="E261">
        <f ca="1">IF(Resultat!$H42="","",RANK(E41,$B41:INDIRECT(ADDRESS($A41+11,1+Resultat!$L$1,3,,))))</f>
        <v>4</v>
      </c>
      <c r="F261">
        <f ca="1">IF(Resultat!$H42="","",RANK(F41,$B41:INDIRECT(ADDRESS($A41+11,1+Resultat!$L$1,3,,))))</f>
        <v>5</v>
      </c>
    </row>
    <row r="262" spans="1:6" outlineLevel="1" x14ac:dyDescent="0.2">
      <c r="A262">
        <v>31</v>
      </c>
      <c r="B262">
        <f ca="1">IF(Resultat!$H43="","",RANK(B42,$B42:INDIRECT(ADDRESS($A42+11,1+Resultat!$L$1,3,,))))</f>
        <v>3</v>
      </c>
      <c r="C262">
        <f ca="1">IF(Resultat!$H43="","",RANK(C42,$B42:INDIRECT(ADDRESS($A42+11,1+Resultat!$L$1,3,,))))</f>
        <v>2</v>
      </c>
      <c r="D262">
        <f ca="1">IF(Resultat!$H43="","",RANK(D42,$B42:INDIRECT(ADDRESS($A42+11,1+Resultat!$L$1,3,,))))</f>
        <v>1</v>
      </c>
      <c r="E262">
        <f ca="1">IF(Resultat!$H43="","",RANK(E42,$B42:INDIRECT(ADDRESS($A42+11,1+Resultat!$L$1,3,,))))</f>
        <v>4</v>
      </c>
      <c r="F262">
        <f ca="1">IF(Resultat!$H43="","",RANK(F42,$B42:INDIRECT(ADDRESS($A42+11,1+Resultat!$L$1,3,,))))</f>
        <v>5</v>
      </c>
    </row>
    <row r="263" spans="1:6" outlineLevel="1" x14ac:dyDescent="0.2">
      <c r="A263">
        <v>32</v>
      </c>
      <c r="B263" t="str">
        <f ca="1">IF(Resultat!$H44="","",RANK(B43,$B43:INDIRECT(ADDRESS($A43+11,1+Resultat!$L$1,3,,))))</f>
        <v/>
      </c>
      <c r="C263" t="str">
        <f ca="1">IF(Resultat!$H44="","",RANK(C43,$B43:INDIRECT(ADDRESS($A43+11,1+Resultat!$L$1,3,,))))</f>
        <v/>
      </c>
      <c r="D263" t="str">
        <f ca="1">IF(Resultat!$H44="","",RANK(D43,$B43:INDIRECT(ADDRESS($A43+11,1+Resultat!$L$1,3,,))))</f>
        <v/>
      </c>
      <c r="E263" t="str">
        <f ca="1">IF(Resultat!$H44="","",RANK(E43,$B43:INDIRECT(ADDRESS($A43+11,1+Resultat!$L$1,3,,))))</f>
        <v/>
      </c>
      <c r="F263" t="str">
        <f ca="1">IF(Resultat!$H44="","",RANK(F43,$B43:INDIRECT(ADDRESS($A43+11,1+Resultat!$L$1,3,,))))</f>
        <v/>
      </c>
    </row>
    <row r="264" spans="1:6" outlineLevel="1" x14ac:dyDescent="0.2">
      <c r="A264">
        <v>33</v>
      </c>
      <c r="B264" t="str">
        <f ca="1">IF(Resultat!$H45="","",RANK(B44,$B44:INDIRECT(ADDRESS($A44+11,1+Resultat!$L$1,3,,))))</f>
        <v/>
      </c>
      <c r="C264" t="str">
        <f ca="1">IF(Resultat!$H45="","",RANK(C44,$B44:INDIRECT(ADDRESS($A44+11,1+Resultat!$L$1,3,,))))</f>
        <v/>
      </c>
      <c r="D264" t="str">
        <f ca="1">IF(Resultat!$H45="","",RANK(D44,$B44:INDIRECT(ADDRESS($A44+11,1+Resultat!$L$1,3,,))))</f>
        <v/>
      </c>
      <c r="E264" t="str">
        <f ca="1">IF(Resultat!$H45="","",RANK(E44,$B44:INDIRECT(ADDRESS($A44+11,1+Resultat!$L$1,3,,))))</f>
        <v/>
      </c>
      <c r="F264" t="str">
        <f ca="1">IF(Resultat!$H45="","",RANK(F44,$B44:INDIRECT(ADDRESS($A44+11,1+Resultat!$L$1,3,,))))</f>
        <v/>
      </c>
    </row>
    <row r="265" spans="1:6" outlineLevel="1" x14ac:dyDescent="0.2">
      <c r="A265">
        <v>34</v>
      </c>
      <c r="B265" t="str">
        <f ca="1">IF(Resultat!$H46="","",RANK(B45,$B45:INDIRECT(ADDRESS($A45+11,1+Resultat!$L$1,3,,))))</f>
        <v/>
      </c>
      <c r="C265" t="str">
        <f ca="1">IF(Resultat!$H46="","",RANK(C45,$B45:INDIRECT(ADDRESS($A45+11,1+Resultat!$L$1,3,,))))</f>
        <v/>
      </c>
      <c r="D265" t="str">
        <f ca="1">IF(Resultat!$H46="","",RANK(D45,$B45:INDIRECT(ADDRESS($A45+11,1+Resultat!$L$1,3,,))))</f>
        <v/>
      </c>
      <c r="E265" t="str">
        <f ca="1">IF(Resultat!$H46="","",RANK(E45,$B45:INDIRECT(ADDRESS($A45+11,1+Resultat!$L$1,3,,))))</f>
        <v/>
      </c>
      <c r="F265" t="str">
        <f ca="1">IF(Resultat!$H46="","",RANK(F45,$B45:INDIRECT(ADDRESS($A45+11,1+Resultat!$L$1,3,,))))</f>
        <v/>
      </c>
    </row>
    <row r="266" spans="1:6" outlineLevel="1" x14ac:dyDescent="0.2">
      <c r="A266">
        <v>35</v>
      </c>
      <c r="B266" t="str">
        <f ca="1">IF(Resultat!$H47="","",RANK(B46,$B46:INDIRECT(ADDRESS($A46+11,1+Resultat!$L$1,3,,))))</f>
        <v/>
      </c>
      <c r="C266" t="str">
        <f ca="1">IF(Resultat!$H47="","",RANK(C46,$B46:INDIRECT(ADDRESS($A46+11,1+Resultat!$L$1,3,,))))</f>
        <v/>
      </c>
      <c r="D266" t="str">
        <f ca="1">IF(Resultat!$H47="","",RANK(D46,$B46:INDIRECT(ADDRESS($A46+11,1+Resultat!$L$1,3,,))))</f>
        <v/>
      </c>
      <c r="E266" t="str">
        <f ca="1">IF(Resultat!$H47="","",RANK(E46,$B46:INDIRECT(ADDRESS($A46+11,1+Resultat!$L$1,3,,))))</f>
        <v/>
      </c>
      <c r="F266" t="str">
        <f ca="1">IF(Resultat!$H47="","",RANK(F46,$B46:INDIRECT(ADDRESS($A46+11,1+Resultat!$L$1,3,,))))</f>
        <v/>
      </c>
    </row>
    <row r="267" spans="1:6" outlineLevel="1" x14ac:dyDescent="0.2">
      <c r="A267">
        <v>36</v>
      </c>
      <c r="B267" t="str">
        <f ca="1">IF(Resultat!$H48="","",RANK(B47,$B47:INDIRECT(ADDRESS($A47+11,1+Resultat!$L$1,3,,))))</f>
        <v/>
      </c>
      <c r="C267" t="str">
        <f ca="1">IF(Resultat!$H48="","",RANK(C47,$B47:INDIRECT(ADDRESS($A47+11,1+Resultat!$L$1,3,,))))</f>
        <v/>
      </c>
      <c r="D267" t="str">
        <f ca="1">IF(Resultat!$H48="","",RANK(D47,$B47:INDIRECT(ADDRESS($A47+11,1+Resultat!$L$1,3,,))))</f>
        <v/>
      </c>
      <c r="E267" t="str">
        <f ca="1">IF(Resultat!$H48="","",RANK(E47,$B47:INDIRECT(ADDRESS($A47+11,1+Resultat!$L$1,3,,))))</f>
        <v/>
      </c>
      <c r="F267" t="str">
        <f ca="1">IF(Resultat!$H48="","",RANK(F47,$B47:INDIRECT(ADDRESS($A47+11,1+Resultat!$L$1,3,,))))</f>
        <v/>
      </c>
    </row>
    <row r="268" spans="1:6" outlineLevel="1" x14ac:dyDescent="0.2">
      <c r="A268">
        <v>37</v>
      </c>
      <c r="B268" t="str">
        <f ca="1">IF(Resultat!$H49="","",RANK(B48,$B48:INDIRECT(ADDRESS($A48+11,1+Resultat!$L$1,3,,))))</f>
        <v/>
      </c>
      <c r="C268" t="str">
        <f ca="1">IF(Resultat!$H49="","",RANK(C48,$B48:INDIRECT(ADDRESS($A48+11,1+Resultat!$L$1,3,,))))</f>
        <v/>
      </c>
      <c r="D268" t="str">
        <f ca="1">IF(Resultat!$H49="","",RANK(D48,$B48:INDIRECT(ADDRESS($A48+11,1+Resultat!$L$1,3,,))))</f>
        <v/>
      </c>
      <c r="E268" t="str">
        <f ca="1">IF(Resultat!$H49="","",RANK(E48,$B48:INDIRECT(ADDRESS($A48+11,1+Resultat!$L$1,3,,))))</f>
        <v/>
      </c>
      <c r="F268" t="str">
        <f ca="1">IF(Resultat!$H49="","",RANK(F48,$B48:INDIRECT(ADDRESS($A48+11,1+Resultat!$L$1,3,,))))</f>
        <v/>
      </c>
    </row>
    <row r="269" spans="1:6" outlineLevel="1" x14ac:dyDescent="0.2">
      <c r="A269">
        <v>38</v>
      </c>
      <c r="B269" t="str">
        <f ca="1">IF(Resultat!$H50="","",RANK(B49,$B49:INDIRECT(ADDRESS($A49+11,1+Resultat!$L$1,3,,))))</f>
        <v/>
      </c>
      <c r="C269" t="str">
        <f ca="1">IF(Resultat!$H50="","",RANK(C49,$B49:INDIRECT(ADDRESS($A49+11,1+Resultat!$L$1,3,,))))</f>
        <v/>
      </c>
      <c r="D269" t="str">
        <f ca="1">IF(Resultat!$H50="","",RANK(D49,$B49:INDIRECT(ADDRESS($A49+11,1+Resultat!$L$1,3,,))))</f>
        <v/>
      </c>
      <c r="E269" t="str">
        <f ca="1">IF(Resultat!$H50="","",RANK(E49,$B49:INDIRECT(ADDRESS($A49+11,1+Resultat!$L$1,3,,))))</f>
        <v/>
      </c>
      <c r="F269" t="str">
        <f ca="1">IF(Resultat!$H50="","",RANK(F49,$B49:INDIRECT(ADDRESS($A49+11,1+Resultat!$L$1,3,,))))</f>
        <v/>
      </c>
    </row>
    <row r="270" spans="1:6" outlineLevel="1" x14ac:dyDescent="0.2">
      <c r="A270">
        <v>39</v>
      </c>
      <c r="B270" t="str">
        <f ca="1">IF(Resultat!$H51="","",RANK(B50,$B50:INDIRECT(ADDRESS($A50+11,1+Resultat!$L$1,3,,))))</f>
        <v/>
      </c>
      <c r="C270" t="str">
        <f ca="1">IF(Resultat!$H51="","",RANK(C50,$B50:INDIRECT(ADDRESS($A50+11,1+Resultat!$L$1,3,,))))</f>
        <v/>
      </c>
      <c r="D270" t="str">
        <f ca="1">IF(Resultat!$H51="","",RANK(D50,$B50:INDIRECT(ADDRESS($A50+11,1+Resultat!$L$1,3,,))))</f>
        <v/>
      </c>
      <c r="E270" t="str">
        <f ca="1">IF(Resultat!$H51="","",RANK(E50,$B50:INDIRECT(ADDRESS($A50+11,1+Resultat!$L$1,3,,))))</f>
        <v/>
      </c>
      <c r="F270" t="str">
        <f ca="1">IF(Resultat!$H51="","",RANK(F50,$B50:INDIRECT(ADDRESS($A50+11,1+Resultat!$L$1,3,,))))</f>
        <v/>
      </c>
    </row>
    <row r="271" spans="1:6" outlineLevel="1" x14ac:dyDescent="0.2">
      <c r="A271">
        <v>40</v>
      </c>
      <c r="B271" t="str">
        <f ca="1">IF(Resultat!$H52="","",RANK(B51,$B51:INDIRECT(ADDRESS($A51+11,1+Resultat!$L$1,3,,))))</f>
        <v/>
      </c>
      <c r="C271" t="str">
        <f ca="1">IF(Resultat!$H52="","",RANK(C51,$B51:INDIRECT(ADDRESS($A51+11,1+Resultat!$L$1,3,,))))</f>
        <v/>
      </c>
      <c r="D271" t="str">
        <f ca="1">IF(Resultat!$H52="","",RANK(D51,$B51:INDIRECT(ADDRESS($A51+11,1+Resultat!$L$1,3,,))))</f>
        <v/>
      </c>
      <c r="E271" t="str">
        <f ca="1">IF(Resultat!$H52="","",RANK(E51,$B51:INDIRECT(ADDRESS($A51+11,1+Resultat!$L$1,3,,))))</f>
        <v/>
      </c>
      <c r="F271" t="str">
        <f ca="1">IF(Resultat!$H52="","",RANK(F51,$B51:INDIRECT(ADDRESS($A51+11,1+Resultat!$L$1,3,,))))</f>
        <v/>
      </c>
    </row>
    <row r="272" spans="1:6" outlineLevel="1" x14ac:dyDescent="0.2">
      <c r="A272">
        <v>41</v>
      </c>
      <c r="B272" t="str">
        <f ca="1">IF(Resultat!$H53="","",RANK(B52,$B52:INDIRECT(ADDRESS($A52+11,1+Resultat!$L$1,3,,))))</f>
        <v/>
      </c>
      <c r="C272" t="str">
        <f ca="1">IF(Resultat!$H53="","",RANK(C52,$B52:INDIRECT(ADDRESS($A52+11,1+Resultat!$L$1,3,,))))</f>
        <v/>
      </c>
      <c r="D272" t="str">
        <f ca="1">IF(Resultat!$H53="","",RANK(D52,$B52:INDIRECT(ADDRESS($A52+11,1+Resultat!$L$1,3,,))))</f>
        <v/>
      </c>
      <c r="E272" t="str">
        <f ca="1">IF(Resultat!$H53="","",RANK(E52,$B52:INDIRECT(ADDRESS($A52+11,1+Resultat!$L$1,3,,))))</f>
        <v/>
      </c>
      <c r="F272" t="str">
        <f ca="1">IF(Resultat!$H53="","",RANK(F52,$B52:INDIRECT(ADDRESS($A52+11,1+Resultat!$L$1,3,,))))</f>
        <v/>
      </c>
    </row>
    <row r="273" spans="1:9" outlineLevel="1" x14ac:dyDescent="0.2">
      <c r="A273">
        <v>42</v>
      </c>
      <c r="B273" t="str">
        <f ca="1">IF(Resultat!$H54="","",RANK(B53,$B53:INDIRECT(ADDRESS($A53+11,1+Resultat!$L$1,3,,))))</f>
        <v/>
      </c>
      <c r="C273" t="str">
        <f ca="1">IF(Resultat!$H54="","",RANK(C53,$B53:INDIRECT(ADDRESS($A53+11,1+Resultat!$L$1,3,,))))</f>
        <v/>
      </c>
      <c r="D273" t="str">
        <f ca="1">IF(Resultat!$H54="","",RANK(D53,$B53:INDIRECT(ADDRESS($A53+11,1+Resultat!$L$1,3,,))))</f>
        <v/>
      </c>
      <c r="E273" t="str">
        <f ca="1">IF(Resultat!$H54="","",RANK(E53,$B53:INDIRECT(ADDRESS($A53+11,1+Resultat!$L$1,3,,))))</f>
        <v/>
      </c>
      <c r="F273" t="str">
        <f ca="1">IF(Resultat!$H54="","",RANK(F53,$B53:INDIRECT(ADDRESS($A53+11,1+Resultat!$L$1,3,,))))</f>
        <v/>
      </c>
    </row>
    <row r="274" spans="1:9" outlineLevel="1" x14ac:dyDescent="0.2">
      <c r="A274">
        <v>43</v>
      </c>
      <c r="B274" t="str">
        <f ca="1">IF(Resultat!$H55="","",RANK(B54,$B54:INDIRECT(ADDRESS($A54+11,1+Resultat!$L$1,3,,))))</f>
        <v/>
      </c>
      <c r="C274" t="str">
        <f ca="1">IF(Resultat!$H55="","",RANK(C54,$B54:INDIRECT(ADDRESS($A54+11,1+Resultat!$L$1,3,,))))</f>
        <v/>
      </c>
      <c r="D274" t="str">
        <f ca="1">IF(Resultat!$H55="","",RANK(D54,$B54:INDIRECT(ADDRESS($A54+11,1+Resultat!$L$1,3,,))))</f>
        <v/>
      </c>
      <c r="E274" t="str">
        <f ca="1">IF(Resultat!$H55="","",RANK(E54,$B54:INDIRECT(ADDRESS($A54+11,1+Resultat!$L$1,3,,))))</f>
        <v/>
      </c>
      <c r="F274" t="str">
        <f ca="1">IF(Resultat!$H55="","",RANK(F54,$B54:INDIRECT(ADDRESS($A54+11,1+Resultat!$L$1,3,,))))</f>
        <v/>
      </c>
    </row>
    <row r="275" spans="1:9" outlineLevel="1" x14ac:dyDescent="0.2">
      <c r="A275">
        <v>44</v>
      </c>
      <c r="B275" t="str">
        <f ca="1">IF(Resultat!$H56="","",RANK(B55,$B55:INDIRECT(ADDRESS($A55+11,1+Resultat!$L$1,3,,))))</f>
        <v/>
      </c>
      <c r="C275" t="str">
        <f ca="1">IF(Resultat!$H56="","",RANK(C55,$B55:INDIRECT(ADDRESS($A55+11,1+Resultat!$L$1,3,,))))</f>
        <v/>
      </c>
      <c r="D275" t="str">
        <f ca="1">IF(Resultat!$H56="","",RANK(D55,$B55:INDIRECT(ADDRESS($A55+11,1+Resultat!$L$1,3,,))))</f>
        <v/>
      </c>
      <c r="E275" t="str">
        <f ca="1">IF(Resultat!$H56="","",RANK(E55,$B55:INDIRECT(ADDRESS($A55+11,1+Resultat!$L$1,3,,))))</f>
        <v/>
      </c>
      <c r="F275" t="str">
        <f ca="1">IF(Resultat!$H56="","",RANK(F55,$B55:INDIRECT(ADDRESS($A55+11,1+Resultat!$L$1,3,,))))</f>
        <v/>
      </c>
    </row>
    <row r="276" spans="1:9" outlineLevel="1" x14ac:dyDescent="0.2">
      <c r="A276">
        <v>45</v>
      </c>
      <c r="B276" t="str">
        <f ca="1">IF(Resultat!$H57="","",RANK(B56,$B56:INDIRECT(ADDRESS($A56+11,1+Resultat!$L$1,3,,))))</f>
        <v/>
      </c>
      <c r="C276" t="str">
        <f ca="1">IF(Resultat!$H57="","",RANK(C56,$B56:INDIRECT(ADDRESS($A56+11,1+Resultat!$L$1,3,,))))</f>
        <v/>
      </c>
      <c r="D276" t="str">
        <f ca="1">IF(Resultat!$H57="","",RANK(D56,$B56:INDIRECT(ADDRESS($A56+11,1+Resultat!$L$1,3,,))))</f>
        <v/>
      </c>
      <c r="E276" t="str">
        <f ca="1">IF(Resultat!$H57="","",RANK(E56,$B56:INDIRECT(ADDRESS($A56+11,1+Resultat!$L$1,3,,))))</f>
        <v/>
      </c>
      <c r="F276" t="str">
        <f ca="1">IF(Resultat!$H57="","",RANK(F56,$B56:INDIRECT(ADDRESS($A56+11,1+Resultat!$L$1,3,,))))</f>
        <v/>
      </c>
    </row>
    <row r="277" spans="1:9" outlineLevel="1" x14ac:dyDescent="0.2">
      <c r="A277">
        <v>46</v>
      </c>
      <c r="B277" t="str">
        <f ca="1">IF(Resultat!$H58="","",RANK(B57,$B57:INDIRECT(ADDRESS($A57+11,1+Resultat!$L$1,3,,))))</f>
        <v/>
      </c>
      <c r="C277" t="str">
        <f ca="1">IF(Resultat!$H58="","",RANK(C57,$B57:INDIRECT(ADDRESS($A57+11,1+Resultat!$L$1,3,,))))</f>
        <v/>
      </c>
      <c r="D277" t="str">
        <f ca="1">IF(Resultat!$H58="","",RANK(D57,$B57:INDIRECT(ADDRESS($A57+11,1+Resultat!$L$1,3,,))))</f>
        <v/>
      </c>
      <c r="E277" t="str">
        <f ca="1">IF(Resultat!$H58="","",RANK(E57,$B57:INDIRECT(ADDRESS($A57+11,1+Resultat!$L$1,3,,))))</f>
        <v/>
      </c>
      <c r="F277" t="str">
        <f ca="1">IF(Resultat!$H58="","",RANK(F57,$B57:INDIRECT(ADDRESS($A57+11,1+Resultat!$L$1,3,,))))</f>
        <v/>
      </c>
    </row>
    <row r="278" spans="1:9" outlineLevel="1" x14ac:dyDescent="0.2">
      <c r="A278">
        <v>47</v>
      </c>
      <c r="B278" t="str">
        <f ca="1">IF(Resultat!$H59="","",RANK(B58,$B58:INDIRECT(ADDRESS($A58+11,1+Resultat!$L$1,3,,))))</f>
        <v/>
      </c>
      <c r="C278" t="str">
        <f ca="1">IF(Resultat!$H59="","",RANK(C58,$B58:INDIRECT(ADDRESS($A58+11,1+Resultat!$L$1,3,,))))</f>
        <v/>
      </c>
      <c r="D278" t="str">
        <f ca="1">IF(Resultat!$H59="","",RANK(D58,$B58:INDIRECT(ADDRESS($A58+11,1+Resultat!$L$1,3,,))))</f>
        <v/>
      </c>
      <c r="E278" t="str">
        <f ca="1">IF(Resultat!$H59="","",RANK(E58,$B58:INDIRECT(ADDRESS($A58+11,1+Resultat!$L$1,3,,))))</f>
        <v/>
      </c>
      <c r="F278" t="str">
        <f ca="1">IF(Resultat!$H59="","",RANK(F58,$B58:INDIRECT(ADDRESS($A58+11,1+Resultat!$L$1,3,,))))</f>
        <v/>
      </c>
    </row>
    <row r="279" spans="1:9" outlineLevel="1" x14ac:dyDescent="0.2">
      <c r="A279">
        <v>48</v>
      </c>
      <c r="B279" t="str">
        <f ca="1">IF(Resultat!$H60="","",RANK(B59,$B59:INDIRECT(ADDRESS($A59+11,1+Resultat!$L$1,3,,))))</f>
        <v/>
      </c>
      <c r="C279" t="str">
        <f ca="1">IF(Resultat!$H60="","",RANK(C59,$B59:INDIRECT(ADDRESS($A59+11,1+Resultat!$L$1,3,,))))</f>
        <v/>
      </c>
      <c r="D279" t="str">
        <f ca="1">IF(Resultat!$H60="","",RANK(D59,$B59:INDIRECT(ADDRESS($A59+11,1+Resultat!$L$1,3,,))))</f>
        <v/>
      </c>
      <c r="E279" t="str">
        <f ca="1">IF(Resultat!$H60="","",RANK(E59,$B59:INDIRECT(ADDRESS($A59+11,1+Resultat!$L$1,3,,))))</f>
        <v/>
      </c>
      <c r="F279" t="str">
        <f ca="1">IF(Resultat!$H60="","",RANK(F59,$B59:INDIRECT(ADDRESS($A59+11,1+Resultat!$L$1,3,,))))</f>
        <v/>
      </c>
    </row>
    <row r="280" spans="1:9" outlineLevel="1" x14ac:dyDescent="0.2">
      <c r="A280">
        <v>49</v>
      </c>
      <c r="B280" t="str">
        <f ca="1">IF(Resultat!$H61="","",RANK(B60,$B60:INDIRECT(ADDRESS($A60+11,1+Resultat!$L$1,3,,))))</f>
        <v/>
      </c>
      <c r="C280" t="str">
        <f ca="1">IF(Resultat!$H61="","",RANK(C60,$B60:INDIRECT(ADDRESS($A60+11,1+Resultat!$L$1,3,,))))</f>
        <v/>
      </c>
      <c r="D280" t="str">
        <f ca="1">IF(Resultat!$H61="","",RANK(D60,$B60:INDIRECT(ADDRESS($A60+11,1+Resultat!$L$1,3,,))))</f>
        <v/>
      </c>
      <c r="E280" t="str">
        <f ca="1">IF(Resultat!$H61="","",RANK(E60,$B60:INDIRECT(ADDRESS($A60+11,1+Resultat!$L$1,3,,))))</f>
        <v/>
      </c>
      <c r="F280" t="str">
        <f ca="1">IF(Resultat!$H61="","",RANK(F60,$B60:INDIRECT(ADDRESS($A60+11,1+Resultat!$L$1,3,,))))</f>
        <v/>
      </c>
    </row>
    <row r="281" spans="1:9" outlineLevel="1" x14ac:dyDescent="0.2">
      <c r="A281">
        <v>50</v>
      </c>
      <c r="B281" t="str">
        <f ca="1">IF(Resultat!$H62="","",RANK(B61,$B61:INDIRECT(ADDRESS($A61+11,1+Resultat!$L$1,3,,))))</f>
        <v/>
      </c>
      <c r="C281" t="str">
        <f ca="1">IF(Resultat!$H62="","",RANK(C61,$B61:INDIRECT(ADDRESS($A61+11,1+Resultat!$L$1,3,,))))</f>
        <v/>
      </c>
      <c r="D281" t="str">
        <f ca="1">IF(Resultat!$H62="","",RANK(D61,$B61:INDIRECT(ADDRESS($A61+11,1+Resultat!$L$1,3,,))))</f>
        <v/>
      </c>
      <c r="E281" t="str">
        <f ca="1">IF(Resultat!$H62="","",RANK(E61,$B61:INDIRECT(ADDRESS($A61+11,1+Resultat!$L$1,3,,))))</f>
        <v/>
      </c>
      <c r="F281" t="str">
        <f ca="1">IF(Resultat!$H62="","",RANK(F61,$B61:INDIRECT(ADDRESS($A61+11,1+Resultat!$L$1,3,,))))</f>
        <v/>
      </c>
    </row>
    <row r="282" spans="1:9" outlineLevel="1" x14ac:dyDescent="0.2">
      <c r="A282">
        <v>51</v>
      </c>
      <c r="B282" t="str">
        <f ca="1">IF(Resultat!$H63="","",RANK(B62,$B62:INDIRECT(ADDRESS($A62+11,1+Resultat!$L$1,3,,))))</f>
        <v/>
      </c>
      <c r="C282" t="str">
        <f ca="1">IF(Resultat!$H63="","",RANK(C62,$B62:INDIRECT(ADDRESS($A62+11,1+Resultat!$L$1,3,,))))</f>
        <v/>
      </c>
      <c r="D282" t="str">
        <f ca="1">IF(Resultat!$H63="","",RANK(D62,$B62:INDIRECT(ADDRESS($A62+11,1+Resultat!$L$1,3,,))))</f>
        <v/>
      </c>
      <c r="E282" t="str">
        <f ca="1">IF(Resultat!$H63="","",RANK(E62,$B62:INDIRECT(ADDRESS($A62+11,1+Resultat!$L$1,3,,))))</f>
        <v/>
      </c>
      <c r="F282" t="str">
        <f ca="1">IF(Resultat!$H63="","",RANK(F62,$B62:INDIRECT(ADDRESS($A62+11,1+Resultat!$L$1,3,,))))</f>
        <v/>
      </c>
    </row>
    <row r="285" spans="1:9" x14ac:dyDescent="0.2">
      <c r="B285" t="s">
        <v>104</v>
      </c>
    </row>
    <row r="286" spans="1:9" outlineLevel="1" x14ac:dyDescent="0.2">
      <c r="A286" t="s">
        <v>102</v>
      </c>
      <c r="B286" s="73" t="str">
        <f>B$1</f>
        <v>Jocke</v>
      </c>
      <c r="C286" s="73" t="str">
        <f t="shared" ref="C286:F286" si="124">C$1</f>
        <v>Markus</v>
      </c>
      <c r="D286" s="73" t="str">
        <f t="shared" si="124"/>
        <v>Rickard</v>
      </c>
      <c r="E286" s="73" t="str">
        <f t="shared" si="124"/>
        <v>Tomas</v>
      </c>
      <c r="F286" s="73" t="str">
        <f t="shared" si="124"/>
        <v>Kalle</v>
      </c>
      <c r="G286" s="73"/>
      <c r="H286" s="73"/>
      <c r="I286" s="73"/>
    </row>
    <row r="287" spans="1:9" outlineLevel="1" x14ac:dyDescent="0.2">
      <c r="A287">
        <v>1</v>
      </c>
      <c r="B287">
        <f ca="1">IF(Resultat!$H13="","",SUMPRODUCT(($B232:INDIRECT(ADDRESS($A232+231,1+Resultat!$L$1,3,,))=B232)*($B122:INDIRECT(ADDRESS($A122+121,1+Resultat!$L$1,3,,))&gt;B122)))</f>
        <v>0</v>
      </c>
      <c r="C287">
        <f ca="1">IF(Resultat!$H13="","",SUMPRODUCT(($B232:INDIRECT(ADDRESS($A232+231,1+Resultat!$L$1,3,,))=C232)*($B122:INDIRECT(ADDRESS($A122+121,1+Resultat!$L$1,3,,))&gt;C122)))</f>
        <v>0</v>
      </c>
      <c r="D287">
        <f ca="1">IF(Resultat!$H13="","",SUMPRODUCT(($B232:INDIRECT(ADDRESS($A232+231,1+Resultat!$L$1,3,,))=D232)*($B122:INDIRECT(ADDRESS($A122+121,1+Resultat!$L$1,3,,))&gt;D122)))</f>
        <v>0</v>
      </c>
      <c r="E287">
        <f ca="1">IF(Resultat!$H13="","",SUMPRODUCT(($B232:INDIRECT(ADDRESS($A232+231,1+Resultat!$L$1,3,,))=E232)*($B122:INDIRECT(ADDRESS($A122+121,1+Resultat!$L$1,3,,))&gt;E122)))</f>
        <v>0</v>
      </c>
      <c r="F287">
        <f ca="1">IF(Resultat!$H13="","",SUMPRODUCT(($B232:INDIRECT(ADDRESS($A232+231,1+Resultat!$L$1,3,,))=F232)*($B122:INDIRECT(ADDRESS($A122+121,1+Resultat!$L$1,3,,))&gt;F122)))</f>
        <v>0</v>
      </c>
    </row>
    <row r="288" spans="1:9" outlineLevel="1" x14ac:dyDescent="0.2">
      <c r="A288">
        <v>2</v>
      </c>
      <c r="B288">
        <f ca="1">IF(Resultat!$H14="","",SUMPRODUCT(($B233:INDIRECT(ADDRESS($A233+231,1+Resultat!$L$1,3,,))=B233)*($B123:INDIRECT(ADDRESS($A123+121,1+Resultat!$L$1,3,,))&gt;B123)))</f>
        <v>0</v>
      </c>
      <c r="C288">
        <f ca="1">IF(Resultat!$H14="","",SUMPRODUCT(($B233:INDIRECT(ADDRESS($A233+231,1+Resultat!$L$1,3,,))=C233)*($B123:INDIRECT(ADDRESS($A123+121,1+Resultat!$L$1,3,,))&gt;C123)))</f>
        <v>0</v>
      </c>
      <c r="D288">
        <f ca="1">IF(Resultat!$H14="","",SUMPRODUCT(($B233:INDIRECT(ADDRESS($A233+231,1+Resultat!$L$1,3,,))=D233)*($B123:INDIRECT(ADDRESS($A123+121,1+Resultat!$L$1,3,,))&gt;D123)))</f>
        <v>0</v>
      </c>
      <c r="E288">
        <f ca="1">IF(Resultat!$H14="","",SUMPRODUCT(($B233:INDIRECT(ADDRESS($A233+231,1+Resultat!$L$1,3,,))=E233)*($B123:INDIRECT(ADDRESS($A123+121,1+Resultat!$L$1,3,,))&gt;E123)))</f>
        <v>0</v>
      </c>
      <c r="F288">
        <f ca="1">IF(Resultat!$H14="","",SUMPRODUCT(($B233:INDIRECT(ADDRESS($A233+231,1+Resultat!$L$1,3,,))=F233)*($B123:INDIRECT(ADDRESS($A123+121,1+Resultat!$L$1,3,,))&gt;F123)))</f>
        <v>0</v>
      </c>
    </row>
    <row r="289" spans="1:6" outlineLevel="1" x14ac:dyDescent="0.2">
      <c r="A289">
        <v>3</v>
      </c>
      <c r="B289">
        <f ca="1">IF(Resultat!$H15="","",SUMPRODUCT(($B234:INDIRECT(ADDRESS($A234+231,1+Resultat!$L$1,3,,))=B234)*($B124:INDIRECT(ADDRESS($A124+121,1+Resultat!$L$1,3,,))&gt;B124)))</f>
        <v>0</v>
      </c>
      <c r="C289">
        <f ca="1">IF(Resultat!$H15="","",SUMPRODUCT(($B234:INDIRECT(ADDRESS($A234+231,1+Resultat!$L$1,3,,))=C234)*($B124:INDIRECT(ADDRESS($A124+121,1+Resultat!$L$1,3,,))&gt;C124)))</f>
        <v>0</v>
      </c>
      <c r="D289">
        <f ca="1">IF(Resultat!$H15="","",SUMPRODUCT(($B234:INDIRECT(ADDRESS($A234+231,1+Resultat!$L$1,3,,))=D234)*($B124:INDIRECT(ADDRESS($A124+121,1+Resultat!$L$1,3,,))&gt;D124)))</f>
        <v>0</v>
      </c>
      <c r="E289">
        <f ca="1">IF(Resultat!$H15="","",SUMPRODUCT(($B234:INDIRECT(ADDRESS($A234+231,1+Resultat!$L$1,3,,))=E234)*($B124:INDIRECT(ADDRESS($A124+121,1+Resultat!$L$1,3,,))&gt;E124)))</f>
        <v>0</v>
      </c>
      <c r="F289">
        <f ca="1">IF(Resultat!$H15="","",SUMPRODUCT(($B234:INDIRECT(ADDRESS($A234+231,1+Resultat!$L$1,3,,))=F234)*($B124:INDIRECT(ADDRESS($A124+121,1+Resultat!$L$1,3,,))&gt;F124)))</f>
        <v>0</v>
      </c>
    </row>
    <row r="290" spans="1:6" outlineLevel="1" x14ac:dyDescent="0.2">
      <c r="A290">
        <v>4</v>
      </c>
      <c r="B290">
        <f ca="1">IF(Resultat!$H16="","",SUMPRODUCT(($B235:INDIRECT(ADDRESS($A235+231,1+Resultat!$L$1,3,,))=B235)*($B125:INDIRECT(ADDRESS($A125+121,1+Resultat!$L$1,3,,))&gt;B125)))</f>
        <v>0</v>
      </c>
      <c r="C290">
        <f ca="1">IF(Resultat!$H16="","",SUMPRODUCT(($B235:INDIRECT(ADDRESS($A235+231,1+Resultat!$L$1,3,,))=C235)*($B125:INDIRECT(ADDRESS($A125+121,1+Resultat!$L$1,3,,))&gt;C125)))</f>
        <v>0</v>
      </c>
      <c r="D290">
        <f ca="1">IF(Resultat!$H16="","",SUMPRODUCT(($B235:INDIRECT(ADDRESS($A235+231,1+Resultat!$L$1,3,,))=D235)*($B125:INDIRECT(ADDRESS($A125+121,1+Resultat!$L$1,3,,))&gt;D125)))</f>
        <v>0</v>
      </c>
      <c r="E290">
        <f ca="1">IF(Resultat!$H16="","",SUMPRODUCT(($B235:INDIRECT(ADDRESS($A235+231,1+Resultat!$L$1,3,,))=E235)*($B125:INDIRECT(ADDRESS($A125+121,1+Resultat!$L$1,3,,))&gt;E125)))</f>
        <v>0</v>
      </c>
      <c r="F290">
        <f ca="1">IF(Resultat!$H16="","",SUMPRODUCT(($B235:INDIRECT(ADDRESS($A235+231,1+Resultat!$L$1,3,,))=F235)*($B125:INDIRECT(ADDRESS($A125+121,1+Resultat!$L$1,3,,))&gt;F125)))</f>
        <v>0</v>
      </c>
    </row>
    <row r="291" spans="1:6" outlineLevel="1" x14ac:dyDescent="0.2">
      <c r="A291">
        <v>5</v>
      </c>
      <c r="B291">
        <f ca="1">IF(Resultat!$H17="","",SUMPRODUCT(($B236:INDIRECT(ADDRESS($A236+231,1+Resultat!$L$1,3,,))=B236)*($B126:INDIRECT(ADDRESS($A126+121,1+Resultat!$L$1,3,,))&gt;B126)))</f>
        <v>0</v>
      </c>
      <c r="C291">
        <f ca="1">IF(Resultat!$H17="","",SUMPRODUCT(($B236:INDIRECT(ADDRESS($A236+231,1+Resultat!$L$1,3,,))=C236)*($B126:INDIRECT(ADDRESS($A126+121,1+Resultat!$L$1,3,,))&gt;C126)))</f>
        <v>0</v>
      </c>
      <c r="D291">
        <f ca="1">IF(Resultat!$H17="","",SUMPRODUCT(($B236:INDIRECT(ADDRESS($A236+231,1+Resultat!$L$1,3,,))=D236)*($B126:INDIRECT(ADDRESS($A126+121,1+Resultat!$L$1,3,,))&gt;D126)))</f>
        <v>0</v>
      </c>
      <c r="E291">
        <f ca="1">IF(Resultat!$H17="","",SUMPRODUCT(($B236:INDIRECT(ADDRESS($A236+231,1+Resultat!$L$1,3,,))=E236)*($B126:INDIRECT(ADDRESS($A126+121,1+Resultat!$L$1,3,,))&gt;E126)))</f>
        <v>0</v>
      </c>
      <c r="F291">
        <f ca="1">IF(Resultat!$H17="","",SUMPRODUCT(($B236:INDIRECT(ADDRESS($A236+231,1+Resultat!$L$1,3,,))=F236)*($B126:INDIRECT(ADDRESS($A126+121,1+Resultat!$L$1,3,,))&gt;F126)))</f>
        <v>0</v>
      </c>
    </row>
    <row r="292" spans="1:6" outlineLevel="1" x14ac:dyDescent="0.2">
      <c r="A292">
        <v>6</v>
      </c>
      <c r="B292">
        <f ca="1">IF(Resultat!$H18="","",SUMPRODUCT(($B237:INDIRECT(ADDRESS($A237+231,1+Resultat!$L$1,3,,))=B237)*($B127:INDIRECT(ADDRESS($A127+121,1+Resultat!$L$1,3,,))&gt;B127)))</f>
        <v>0</v>
      </c>
      <c r="C292">
        <f ca="1">IF(Resultat!$H18="","",SUMPRODUCT(($B237:INDIRECT(ADDRESS($A237+231,1+Resultat!$L$1,3,,))=C237)*($B127:INDIRECT(ADDRESS($A127+121,1+Resultat!$L$1,3,,))&gt;C127)))</f>
        <v>0</v>
      </c>
      <c r="D292">
        <f ca="1">IF(Resultat!$H18="","",SUMPRODUCT(($B237:INDIRECT(ADDRESS($A237+231,1+Resultat!$L$1,3,,))=D237)*($B127:INDIRECT(ADDRESS($A127+121,1+Resultat!$L$1,3,,))&gt;D127)))</f>
        <v>0</v>
      </c>
      <c r="E292">
        <f ca="1">IF(Resultat!$H18="","",SUMPRODUCT(($B237:INDIRECT(ADDRESS($A237+231,1+Resultat!$L$1,3,,))=E237)*($B127:INDIRECT(ADDRESS($A127+121,1+Resultat!$L$1,3,,))&gt;E127)))</f>
        <v>0</v>
      </c>
      <c r="F292">
        <f ca="1">IF(Resultat!$H18="","",SUMPRODUCT(($B237:INDIRECT(ADDRESS($A237+231,1+Resultat!$L$1,3,,))=F237)*($B127:INDIRECT(ADDRESS($A127+121,1+Resultat!$L$1,3,,))&gt;F127)))</f>
        <v>0</v>
      </c>
    </row>
    <row r="293" spans="1:6" outlineLevel="1" x14ac:dyDescent="0.2">
      <c r="A293">
        <v>7</v>
      </c>
      <c r="B293">
        <f ca="1">IF(Resultat!$H19="","",SUMPRODUCT(($B238:INDIRECT(ADDRESS($A238+231,1+Resultat!$L$1,3,,))=B238)*($B128:INDIRECT(ADDRESS($A128+121,1+Resultat!$L$1,3,,))&gt;B128)))</f>
        <v>0</v>
      </c>
      <c r="C293">
        <f ca="1">IF(Resultat!$H19="","",SUMPRODUCT(($B238:INDIRECT(ADDRESS($A238+231,1+Resultat!$L$1,3,,))=C238)*($B128:INDIRECT(ADDRESS($A128+121,1+Resultat!$L$1,3,,))&gt;C128)))</f>
        <v>0</v>
      </c>
      <c r="D293">
        <f ca="1">IF(Resultat!$H19="","",SUMPRODUCT(($B238:INDIRECT(ADDRESS($A238+231,1+Resultat!$L$1,3,,))=D238)*($B128:INDIRECT(ADDRESS($A128+121,1+Resultat!$L$1,3,,))&gt;D128)))</f>
        <v>0</v>
      </c>
      <c r="E293">
        <f ca="1">IF(Resultat!$H19="","",SUMPRODUCT(($B238:INDIRECT(ADDRESS($A238+231,1+Resultat!$L$1,3,,))=E238)*($B128:INDIRECT(ADDRESS($A128+121,1+Resultat!$L$1,3,,))&gt;E128)))</f>
        <v>0</v>
      </c>
      <c r="F293">
        <f ca="1">IF(Resultat!$H19="","",SUMPRODUCT(($B238:INDIRECT(ADDRESS($A238+231,1+Resultat!$L$1,3,,))=F238)*($B128:INDIRECT(ADDRESS($A128+121,1+Resultat!$L$1,3,,))&gt;F128)))</f>
        <v>0</v>
      </c>
    </row>
    <row r="294" spans="1:6" outlineLevel="1" x14ac:dyDescent="0.2">
      <c r="A294">
        <v>8</v>
      </c>
      <c r="B294">
        <f ca="1">IF(Resultat!$H20="","",SUMPRODUCT(($B239:INDIRECT(ADDRESS($A239+231,1+Resultat!$L$1,3,,))=B239)*($B129:INDIRECT(ADDRESS($A129+121,1+Resultat!$L$1,3,,))&gt;B129)))</f>
        <v>0</v>
      </c>
      <c r="C294">
        <f ca="1">IF(Resultat!$H20="","",SUMPRODUCT(($B239:INDIRECT(ADDRESS($A239+231,1+Resultat!$L$1,3,,))=C239)*($B129:INDIRECT(ADDRESS($A129+121,1+Resultat!$L$1,3,,))&gt;C129)))</f>
        <v>0</v>
      </c>
      <c r="D294">
        <f ca="1">IF(Resultat!$H20="","",SUMPRODUCT(($B239:INDIRECT(ADDRESS($A239+231,1+Resultat!$L$1,3,,))=D239)*($B129:INDIRECT(ADDRESS($A129+121,1+Resultat!$L$1,3,,))&gt;D129)))</f>
        <v>0</v>
      </c>
      <c r="E294">
        <f ca="1">IF(Resultat!$H20="","",SUMPRODUCT(($B239:INDIRECT(ADDRESS($A239+231,1+Resultat!$L$1,3,,))=E239)*($B129:INDIRECT(ADDRESS($A129+121,1+Resultat!$L$1,3,,))&gt;E129)))</f>
        <v>0</v>
      </c>
      <c r="F294">
        <f ca="1">IF(Resultat!$H20="","",SUMPRODUCT(($B239:INDIRECT(ADDRESS($A239+231,1+Resultat!$L$1,3,,))=F239)*($B129:INDIRECT(ADDRESS($A129+121,1+Resultat!$L$1,3,,))&gt;F129)))</f>
        <v>0</v>
      </c>
    </row>
    <row r="295" spans="1:6" outlineLevel="1" x14ac:dyDescent="0.2">
      <c r="A295">
        <v>9</v>
      </c>
      <c r="B295">
        <f ca="1">IF(Resultat!$H21="","",SUMPRODUCT(($B240:INDIRECT(ADDRESS($A240+231,1+Resultat!$L$1,3,,))=B240)*($B130:INDIRECT(ADDRESS($A130+121,1+Resultat!$L$1,3,,))&gt;B130)))</f>
        <v>0</v>
      </c>
      <c r="C295">
        <f ca="1">IF(Resultat!$H21="","",SUMPRODUCT(($B240:INDIRECT(ADDRESS($A240+231,1+Resultat!$L$1,3,,))=C240)*($B130:INDIRECT(ADDRESS($A130+121,1+Resultat!$L$1,3,,))&gt;C130)))</f>
        <v>0</v>
      </c>
      <c r="D295">
        <f ca="1">IF(Resultat!$H21="","",SUMPRODUCT(($B240:INDIRECT(ADDRESS($A240+231,1+Resultat!$L$1,3,,))=D240)*($B130:INDIRECT(ADDRESS($A130+121,1+Resultat!$L$1,3,,))&gt;D130)))</f>
        <v>0</v>
      </c>
      <c r="E295">
        <f ca="1">IF(Resultat!$H21="","",SUMPRODUCT(($B240:INDIRECT(ADDRESS($A240+231,1+Resultat!$L$1,3,,))=E240)*($B130:INDIRECT(ADDRESS($A130+121,1+Resultat!$L$1,3,,))&gt;E130)))</f>
        <v>0</v>
      </c>
      <c r="F295">
        <f ca="1">IF(Resultat!$H21="","",SUMPRODUCT(($B240:INDIRECT(ADDRESS($A240+231,1+Resultat!$L$1,3,,))=F240)*($B130:INDIRECT(ADDRESS($A130+121,1+Resultat!$L$1,3,,))&gt;F130)))</f>
        <v>0</v>
      </c>
    </row>
    <row r="296" spans="1:6" outlineLevel="1" x14ac:dyDescent="0.2">
      <c r="A296">
        <v>10</v>
      </c>
      <c r="B296">
        <f ca="1">IF(Resultat!$H22="","",SUMPRODUCT(($B241:INDIRECT(ADDRESS($A241+231,1+Resultat!$L$1,3,,))=B241)*($B131:INDIRECT(ADDRESS($A131+121,1+Resultat!$L$1,3,,))&gt;B131)))</f>
        <v>0</v>
      </c>
      <c r="C296">
        <f ca="1">IF(Resultat!$H22="","",SUMPRODUCT(($B241:INDIRECT(ADDRESS($A241+231,1+Resultat!$L$1,3,,))=C241)*($B131:INDIRECT(ADDRESS($A131+121,1+Resultat!$L$1,3,,))&gt;C131)))</f>
        <v>0</v>
      </c>
      <c r="D296">
        <f ca="1">IF(Resultat!$H22="","",SUMPRODUCT(($B241:INDIRECT(ADDRESS($A241+231,1+Resultat!$L$1,3,,))=D241)*($B131:INDIRECT(ADDRESS($A131+121,1+Resultat!$L$1,3,,))&gt;D131)))</f>
        <v>0</v>
      </c>
      <c r="E296">
        <f ca="1">IF(Resultat!$H22="","",SUMPRODUCT(($B241:INDIRECT(ADDRESS($A241+231,1+Resultat!$L$1,3,,))=E241)*($B131:INDIRECT(ADDRESS($A131+121,1+Resultat!$L$1,3,,))&gt;E131)))</f>
        <v>0</v>
      </c>
      <c r="F296">
        <f ca="1">IF(Resultat!$H22="","",SUMPRODUCT(($B241:INDIRECT(ADDRESS($A241+231,1+Resultat!$L$1,3,,))=F241)*($B131:INDIRECT(ADDRESS($A131+121,1+Resultat!$L$1,3,,))&gt;F131)))</f>
        <v>0</v>
      </c>
    </row>
    <row r="297" spans="1:6" outlineLevel="1" x14ac:dyDescent="0.2">
      <c r="A297">
        <v>11</v>
      </c>
      <c r="B297">
        <f ca="1">IF(Resultat!$H23="","",SUMPRODUCT(($B242:INDIRECT(ADDRESS($A242+231,1+Resultat!$L$1,3,,))=B242)*($B132:INDIRECT(ADDRESS($A132+121,1+Resultat!$L$1,3,,))&gt;B132)))</f>
        <v>0</v>
      </c>
      <c r="C297">
        <f ca="1">IF(Resultat!$H23="","",SUMPRODUCT(($B242:INDIRECT(ADDRESS($A242+231,1+Resultat!$L$1,3,,))=C242)*($B132:INDIRECT(ADDRESS($A132+121,1+Resultat!$L$1,3,,))&gt;C132)))</f>
        <v>0</v>
      </c>
      <c r="D297">
        <f ca="1">IF(Resultat!$H23="","",SUMPRODUCT(($B242:INDIRECT(ADDRESS($A242+231,1+Resultat!$L$1,3,,))=D242)*($B132:INDIRECT(ADDRESS($A132+121,1+Resultat!$L$1,3,,))&gt;D132)))</f>
        <v>0</v>
      </c>
      <c r="E297">
        <f ca="1">IF(Resultat!$H23="","",SUMPRODUCT(($B242:INDIRECT(ADDRESS($A242+231,1+Resultat!$L$1,3,,))=E242)*($B132:INDIRECT(ADDRESS($A132+121,1+Resultat!$L$1,3,,))&gt;E132)))</f>
        <v>0</v>
      </c>
      <c r="F297">
        <f ca="1">IF(Resultat!$H23="","",SUMPRODUCT(($B242:INDIRECT(ADDRESS($A242+231,1+Resultat!$L$1,3,,))=F242)*($B132:INDIRECT(ADDRESS($A132+121,1+Resultat!$L$1,3,,))&gt;F132)))</f>
        <v>0</v>
      </c>
    </row>
    <row r="298" spans="1:6" outlineLevel="1" x14ac:dyDescent="0.2">
      <c r="A298">
        <v>12</v>
      </c>
      <c r="B298">
        <f ca="1">IF(Resultat!$H24="","",SUMPRODUCT(($B243:INDIRECT(ADDRESS($A243+231,1+Resultat!$L$1,3,,))=B243)*($B133:INDIRECT(ADDRESS($A133+121,1+Resultat!$L$1,3,,))&gt;B133)))</f>
        <v>0</v>
      </c>
      <c r="C298">
        <f ca="1">IF(Resultat!$H24="","",SUMPRODUCT(($B243:INDIRECT(ADDRESS($A243+231,1+Resultat!$L$1,3,,))=C243)*($B133:INDIRECT(ADDRESS($A133+121,1+Resultat!$L$1,3,,))&gt;C133)))</f>
        <v>0</v>
      </c>
      <c r="D298">
        <f ca="1">IF(Resultat!$H24="","",SUMPRODUCT(($B243:INDIRECT(ADDRESS($A243+231,1+Resultat!$L$1,3,,))=D243)*($B133:INDIRECT(ADDRESS($A133+121,1+Resultat!$L$1,3,,))&gt;D133)))</f>
        <v>0</v>
      </c>
      <c r="E298">
        <f ca="1">IF(Resultat!$H24="","",SUMPRODUCT(($B243:INDIRECT(ADDRESS($A243+231,1+Resultat!$L$1,3,,))=E243)*($B133:INDIRECT(ADDRESS($A133+121,1+Resultat!$L$1,3,,))&gt;E133)))</f>
        <v>0</v>
      </c>
      <c r="F298">
        <f ca="1">IF(Resultat!$H24="","",SUMPRODUCT(($B243:INDIRECT(ADDRESS($A243+231,1+Resultat!$L$1,3,,))=F243)*($B133:INDIRECT(ADDRESS($A133+121,1+Resultat!$L$1,3,,))&gt;F133)))</f>
        <v>0</v>
      </c>
    </row>
    <row r="299" spans="1:6" outlineLevel="1" x14ac:dyDescent="0.2">
      <c r="A299">
        <v>13</v>
      </c>
      <c r="B299">
        <f ca="1">IF(Resultat!$H25="","",SUMPRODUCT(($B244:INDIRECT(ADDRESS($A244+231,1+Resultat!$L$1,3,,))=B244)*($B134:INDIRECT(ADDRESS($A134+121,1+Resultat!$L$1,3,,))&gt;B134)))</f>
        <v>0</v>
      </c>
      <c r="C299">
        <f ca="1">IF(Resultat!$H25="","",SUMPRODUCT(($B244:INDIRECT(ADDRESS($A244+231,1+Resultat!$L$1,3,,))=C244)*($B134:INDIRECT(ADDRESS($A134+121,1+Resultat!$L$1,3,,))&gt;C134)))</f>
        <v>0</v>
      </c>
      <c r="D299">
        <f ca="1">IF(Resultat!$H25="","",SUMPRODUCT(($B244:INDIRECT(ADDRESS($A244+231,1+Resultat!$L$1,3,,))=D244)*($B134:INDIRECT(ADDRESS($A134+121,1+Resultat!$L$1,3,,))&gt;D134)))</f>
        <v>0</v>
      </c>
      <c r="E299">
        <f ca="1">IF(Resultat!$H25="","",SUMPRODUCT(($B244:INDIRECT(ADDRESS($A244+231,1+Resultat!$L$1,3,,))=E244)*($B134:INDIRECT(ADDRESS($A134+121,1+Resultat!$L$1,3,,))&gt;E134)))</f>
        <v>0</v>
      </c>
      <c r="F299">
        <f ca="1">IF(Resultat!$H25="","",SUMPRODUCT(($B244:INDIRECT(ADDRESS($A244+231,1+Resultat!$L$1,3,,))=F244)*($B134:INDIRECT(ADDRESS($A134+121,1+Resultat!$L$1,3,,))&gt;F134)))</f>
        <v>0</v>
      </c>
    </row>
    <row r="300" spans="1:6" outlineLevel="1" x14ac:dyDescent="0.2">
      <c r="A300">
        <v>14</v>
      </c>
      <c r="B300">
        <f ca="1">IF(Resultat!$H26="","",SUMPRODUCT(($B245:INDIRECT(ADDRESS($A245+231,1+Resultat!$L$1,3,,))=B245)*($B135:INDIRECT(ADDRESS($A135+121,1+Resultat!$L$1,3,,))&gt;B135)))</f>
        <v>0</v>
      </c>
      <c r="C300">
        <f ca="1">IF(Resultat!$H26="","",SUMPRODUCT(($B245:INDIRECT(ADDRESS($A245+231,1+Resultat!$L$1,3,,))=C245)*($B135:INDIRECT(ADDRESS($A135+121,1+Resultat!$L$1,3,,))&gt;C135)))</f>
        <v>0</v>
      </c>
      <c r="D300">
        <f ca="1">IF(Resultat!$H26="","",SUMPRODUCT(($B245:INDIRECT(ADDRESS($A245+231,1+Resultat!$L$1,3,,))=D245)*($B135:INDIRECT(ADDRESS($A135+121,1+Resultat!$L$1,3,,))&gt;D135)))</f>
        <v>0</v>
      </c>
      <c r="E300">
        <f ca="1">IF(Resultat!$H26="","",SUMPRODUCT(($B245:INDIRECT(ADDRESS($A245+231,1+Resultat!$L$1,3,,))=E245)*($B135:INDIRECT(ADDRESS($A135+121,1+Resultat!$L$1,3,,))&gt;E135)))</f>
        <v>0</v>
      </c>
      <c r="F300">
        <f ca="1">IF(Resultat!$H26="","",SUMPRODUCT(($B245:INDIRECT(ADDRESS($A245+231,1+Resultat!$L$1,3,,))=F245)*($B135:INDIRECT(ADDRESS($A135+121,1+Resultat!$L$1,3,,))&gt;F135)))</f>
        <v>0</v>
      </c>
    </row>
    <row r="301" spans="1:6" outlineLevel="1" x14ac:dyDescent="0.2">
      <c r="A301">
        <v>15</v>
      </c>
      <c r="B301">
        <f ca="1">IF(Resultat!$H27="","",SUMPRODUCT(($B246:INDIRECT(ADDRESS($A246+231,1+Resultat!$L$1,3,,))=B246)*($B136:INDIRECT(ADDRESS($A136+121,1+Resultat!$L$1,3,,))&gt;B136)))</f>
        <v>0</v>
      </c>
      <c r="C301">
        <f ca="1">IF(Resultat!$H27="","",SUMPRODUCT(($B246:INDIRECT(ADDRESS($A246+231,1+Resultat!$L$1,3,,))=C246)*($B136:INDIRECT(ADDRESS($A136+121,1+Resultat!$L$1,3,,))&gt;C136)))</f>
        <v>0</v>
      </c>
      <c r="D301">
        <f ca="1">IF(Resultat!$H27="","",SUMPRODUCT(($B246:INDIRECT(ADDRESS($A246+231,1+Resultat!$L$1,3,,))=D246)*($B136:INDIRECT(ADDRESS($A136+121,1+Resultat!$L$1,3,,))&gt;D136)))</f>
        <v>0</v>
      </c>
      <c r="E301">
        <f ca="1">IF(Resultat!$H27="","",SUMPRODUCT(($B246:INDIRECT(ADDRESS($A246+231,1+Resultat!$L$1,3,,))=E246)*($B136:INDIRECT(ADDRESS($A136+121,1+Resultat!$L$1,3,,))&gt;E136)))</f>
        <v>0</v>
      </c>
      <c r="F301">
        <f ca="1">IF(Resultat!$H27="","",SUMPRODUCT(($B246:INDIRECT(ADDRESS($A246+231,1+Resultat!$L$1,3,,))=F246)*($B136:INDIRECT(ADDRESS($A136+121,1+Resultat!$L$1,3,,))&gt;F136)))</f>
        <v>0</v>
      </c>
    </row>
    <row r="302" spans="1:6" outlineLevel="1" x14ac:dyDescent="0.2">
      <c r="A302">
        <v>16</v>
      </c>
      <c r="B302">
        <f ca="1">IF(Resultat!$H28="","",SUMPRODUCT(($B247:INDIRECT(ADDRESS($A247+231,1+Resultat!$L$1,3,,))=B247)*($B137:INDIRECT(ADDRESS($A137+121,1+Resultat!$L$1,3,,))&gt;B137)))</f>
        <v>0</v>
      </c>
      <c r="C302">
        <f ca="1">IF(Resultat!$H28="","",SUMPRODUCT(($B247:INDIRECT(ADDRESS($A247+231,1+Resultat!$L$1,3,,))=C247)*($B137:INDIRECT(ADDRESS($A137+121,1+Resultat!$L$1,3,,))&gt;C137)))</f>
        <v>0</v>
      </c>
      <c r="D302">
        <f ca="1">IF(Resultat!$H28="","",SUMPRODUCT(($B247:INDIRECT(ADDRESS($A247+231,1+Resultat!$L$1,3,,))=D247)*($B137:INDIRECT(ADDRESS($A137+121,1+Resultat!$L$1,3,,))&gt;D137)))</f>
        <v>0</v>
      </c>
      <c r="E302">
        <f ca="1">IF(Resultat!$H28="","",SUMPRODUCT(($B247:INDIRECT(ADDRESS($A247+231,1+Resultat!$L$1,3,,))=E247)*($B137:INDIRECT(ADDRESS($A137+121,1+Resultat!$L$1,3,,))&gt;E137)))</f>
        <v>0</v>
      </c>
      <c r="F302">
        <f ca="1">IF(Resultat!$H28="","",SUMPRODUCT(($B247:INDIRECT(ADDRESS($A247+231,1+Resultat!$L$1,3,,))=F247)*($B137:INDIRECT(ADDRESS($A137+121,1+Resultat!$L$1,3,,))&gt;F137)))</f>
        <v>0</v>
      </c>
    </row>
    <row r="303" spans="1:6" outlineLevel="1" x14ac:dyDescent="0.2">
      <c r="A303">
        <v>17</v>
      </c>
      <c r="B303">
        <f ca="1">IF(Resultat!$H29="","",SUMPRODUCT(($B248:INDIRECT(ADDRESS($A248+231,1+Resultat!$L$1,3,,))=B248)*($B138:INDIRECT(ADDRESS($A138+121,1+Resultat!$L$1,3,,))&gt;B138)))</f>
        <v>0</v>
      </c>
      <c r="C303">
        <f ca="1">IF(Resultat!$H29="","",SUMPRODUCT(($B248:INDIRECT(ADDRESS($A248+231,1+Resultat!$L$1,3,,))=C248)*($B138:INDIRECT(ADDRESS($A138+121,1+Resultat!$L$1,3,,))&gt;C138)))</f>
        <v>0</v>
      </c>
      <c r="D303">
        <f ca="1">IF(Resultat!$H29="","",SUMPRODUCT(($B248:INDIRECT(ADDRESS($A248+231,1+Resultat!$L$1,3,,))=D248)*($B138:INDIRECT(ADDRESS($A138+121,1+Resultat!$L$1,3,,))&gt;D138)))</f>
        <v>0</v>
      </c>
      <c r="E303">
        <f ca="1">IF(Resultat!$H29="","",SUMPRODUCT(($B248:INDIRECT(ADDRESS($A248+231,1+Resultat!$L$1,3,,))=E248)*($B138:INDIRECT(ADDRESS($A138+121,1+Resultat!$L$1,3,,))&gt;E138)))</f>
        <v>0</v>
      </c>
      <c r="F303">
        <f ca="1">IF(Resultat!$H29="","",SUMPRODUCT(($B248:INDIRECT(ADDRESS($A248+231,1+Resultat!$L$1,3,,))=F248)*($B138:INDIRECT(ADDRESS($A138+121,1+Resultat!$L$1,3,,))&gt;F138)))</f>
        <v>0</v>
      </c>
    </row>
    <row r="304" spans="1:6" outlineLevel="1" x14ac:dyDescent="0.2">
      <c r="A304">
        <v>18</v>
      </c>
      <c r="B304">
        <f ca="1">IF(Resultat!$H30="","",SUMPRODUCT(($B249:INDIRECT(ADDRESS($A249+231,1+Resultat!$L$1,3,,))=B249)*($B139:INDIRECT(ADDRESS($A139+121,1+Resultat!$L$1,3,,))&gt;B139)))</f>
        <v>0</v>
      </c>
      <c r="C304">
        <f ca="1">IF(Resultat!$H30="","",SUMPRODUCT(($B249:INDIRECT(ADDRESS($A249+231,1+Resultat!$L$1,3,,))=C249)*($B139:INDIRECT(ADDRESS($A139+121,1+Resultat!$L$1,3,,))&gt;C139)))</f>
        <v>0</v>
      </c>
      <c r="D304">
        <f ca="1">IF(Resultat!$H30="","",SUMPRODUCT(($B249:INDIRECT(ADDRESS($A249+231,1+Resultat!$L$1,3,,))=D249)*($B139:INDIRECT(ADDRESS($A139+121,1+Resultat!$L$1,3,,))&gt;D139)))</f>
        <v>0</v>
      </c>
      <c r="E304">
        <f ca="1">IF(Resultat!$H30="","",SUMPRODUCT(($B249:INDIRECT(ADDRESS($A249+231,1+Resultat!$L$1,3,,))=E249)*($B139:INDIRECT(ADDRESS($A139+121,1+Resultat!$L$1,3,,))&gt;E139)))</f>
        <v>0</v>
      </c>
      <c r="F304">
        <f ca="1">IF(Resultat!$H30="","",SUMPRODUCT(($B249:INDIRECT(ADDRESS($A249+231,1+Resultat!$L$1,3,,))=F249)*($B139:INDIRECT(ADDRESS($A139+121,1+Resultat!$L$1,3,,))&gt;F139)))</f>
        <v>0</v>
      </c>
    </row>
    <row r="305" spans="1:6" outlineLevel="1" x14ac:dyDescent="0.2">
      <c r="A305">
        <v>19</v>
      </c>
      <c r="B305">
        <f ca="1">IF(Resultat!$H31="","",SUMPRODUCT(($B250:INDIRECT(ADDRESS($A250+231,1+Resultat!$L$1,3,,))=B250)*($B140:INDIRECT(ADDRESS($A140+121,1+Resultat!$L$1,3,,))&gt;B140)))</f>
        <v>0</v>
      </c>
      <c r="C305">
        <f ca="1">IF(Resultat!$H31="","",SUMPRODUCT(($B250:INDIRECT(ADDRESS($A250+231,1+Resultat!$L$1,3,,))=C250)*($B140:INDIRECT(ADDRESS($A140+121,1+Resultat!$L$1,3,,))&gt;C140)))</f>
        <v>0</v>
      </c>
      <c r="D305">
        <f ca="1">IF(Resultat!$H31="","",SUMPRODUCT(($B250:INDIRECT(ADDRESS($A250+231,1+Resultat!$L$1,3,,))=D250)*($B140:INDIRECT(ADDRESS($A140+121,1+Resultat!$L$1,3,,))&gt;D140)))</f>
        <v>0</v>
      </c>
      <c r="E305">
        <f ca="1">IF(Resultat!$H31="","",SUMPRODUCT(($B250:INDIRECT(ADDRESS($A250+231,1+Resultat!$L$1,3,,))=E250)*($B140:INDIRECT(ADDRESS($A140+121,1+Resultat!$L$1,3,,))&gt;E140)))</f>
        <v>0</v>
      </c>
      <c r="F305">
        <f ca="1">IF(Resultat!$H31="","",SUMPRODUCT(($B250:INDIRECT(ADDRESS($A250+231,1+Resultat!$L$1,3,,))=F250)*($B140:INDIRECT(ADDRESS($A140+121,1+Resultat!$L$1,3,,))&gt;F140)))</f>
        <v>0</v>
      </c>
    </row>
    <row r="306" spans="1:6" outlineLevel="1" x14ac:dyDescent="0.2">
      <c r="A306">
        <v>20</v>
      </c>
      <c r="B306">
        <f ca="1">IF(Resultat!$H32="","",SUMPRODUCT(($B251:INDIRECT(ADDRESS($A251+231,1+Resultat!$L$1,3,,))=B251)*($B141:INDIRECT(ADDRESS($A141+121,1+Resultat!$L$1,3,,))&gt;B141)))</f>
        <v>0</v>
      </c>
      <c r="C306">
        <f ca="1">IF(Resultat!$H32="","",SUMPRODUCT(($B251:INDIRECT(ADDRESS($A251+231,1+Resultat!$L$1,3,,))=C251)*($B141:INDIRECT(ADDRESS($A141+121,1+Resultat!$L$1,3,,))&gt;C141)))</f>
        <v>0</v>
      </c>
      <c r="D306">
        <f ca="1">IF(Resultat!$H32="","",SUMPRODUCT(($B251:INDIRECT(ADDRESS($A251+231,1+Resultat!$L$1,3,,))=D251)*($B141:INDIRECT(ADDRESS($A141+121,1+Resultat!$L$1,3,,))&gt;D141)))</f>
        <v>0</v>
      </c>
      <c r="E306">
        <f ca="1">IF(Resultat!$H32="","",SUMPRODUCT(($B251:INDIRECT(ADDRESS($A251+231,1+Resultat!$L$1,3,,))=E251)*($B141:INDIRECT(ADDRESS($A141+121,1+Resultat!$L$1,3,,))&gt;E141)))</f>
        <v>0</v>
      </c>
      <c r="F306">
        <f ca="1">IF(Resultat!$H32="","",SUMPRODUCT(($B251:INDIRECT(ADDRESS($A251+231,1+Resultat!$L$1,3,,))=F251)*($B141:INDIRECT(ADDRESS($A141+121,1+Resultat!$L$1,3,,))&gt;F141)))</f>
        <v>0</v>
      </c>
    </row>
    <row r="307" spans="1:6" outlineLevel="1" x14ac:dyDescent="0.2">
      <c r="A307">
        <v>21</v>
      </c>
      <c r="B307">
        <f ca="1">IF(Resultat!$H33="","",SUMPRODUCT(($B252:INDIRECT(ADDRESS($A252+231,1+Resultat!$L$1,3,,))=B252)*($B142:INDIRECT(ADDRESS($A142+121,1+Resultat!$L$1,3,,))&gt;B142)))</f>
        <v>0</v>
      </c>
      <c r="C307">
        <f ca="1">IF(Resultat!$H33="","",SUMPRODUCT(($B252:INDIRECT(ADDRESS($A252+231,1+Resultat!$L$1,3,,))=C252)*($B142:INDIRECT(ADDRESS($A142+121,1+Resultat!$L$1,3,,))&gt;C142)))</f>
        <v>0</v>
      </c>
      <c r="D307">
        <f ca="1">IF(Resultat!$H33="","",SUMPRODUCT(($B252:INDIRECT(ADDRESS($A252+231,1+Resultat!$L$1,3,,))=D252)*($B142:INDIRECT(ADDRESS($A142+121,1+Resultat!$L$1,3,,))&gt;D142)))</f>
        <v>0</v>
      </c>
      <c r="E307">
        <f ca="1">IF(Resultat!$H33="","",SUMPRODUCT(($B252:INDIRECT(ADDRESS($A252+231,1+Resultat!$L$1,3,,))=E252)*($B142:INDIRECT(ADDRESS($A142+121,1+Resultat!$L$1,3,,))&gt;E142)))</f>
        <v>0</v>
      </c>
      <c r="F307">
        <f ca="1">IF(Resultat!$H33="","",SUMPRODUCT(($B252:INDIRECT(ADDRESS($A252+231,1+Resultat!$L$1,3,,))=F252)*($B142:INDIRECT(ADDRESS($A142+121,1+Resultat!$L$1,3,,))&gt;F142)))</f>
        <v>0</v>
      </c>
    </row>
    <row r="308" spans="1:6" outlineLevel="1" x14ac:dyDescent="0.2">
      <c r="A308">
        <v>22</v>
      </c>
      <c r="B308">
        <f ca="1">IF(Resultat!$H34="","",SUMPRODUCT(($B253:INDIRECT(ADDRESS($A253+231,1+Resultat!$L$1,3,,))=B253)*($B143:INDIRECT(ADDRESS($A143+121,1+Resultat!$L$1,3,,))&gt;B143)))</f>
        <v>0</v>
      </c>
      <c r="C308">
        <f ca="1">IF(Resultat!$H34="","",SUMPRODUCT(($B253:INDIRECT(ADDRESS($A253+231,1+Resultat!$L$1,3,,))=C253)*($B143:INDIRECT(ADDRESS($A143+121,1+Resultat!$L$1,3,,))&gt;C143)))</f>
        <v>0</v>
      </c>
      <c r="D308">
        <f ca="1">IF(Resultat!$H34="","",SUMPRODUCT(($B253:INDIRECT(ADDRESS($A253+231,1+Resultat!$L$1,3,,))=D253)*($B143:INDIRECT(ADDRESS($A143+121,1+Resultat!$L$1,3,,))&gt;D143)))</f>
        <v>0</v>
      </c>
      <c r="E308">
        <f ca="1">IF(Resultat!$H34="","",SUMPRODUCT(($B253:INDIRECT(ADDRESS($A253+231,1+Resultat!$L$1,3,,))=E253)*($B143:INDIRECT(ADDRESS($A143+121,1+Resultat!$L$1,3,,))&gt;E143)))</f>
        <v>0</v>
      </c>
      <c r="F308">
        <f ca="1">IF(Resultat!$H34="","",SUMPRODUCT(($B253:INDIRECT(ADDRESS($A253+231,1+Resultat!$L$1,3,,))=F253)*($B143:INDIRECT(ADDRESS($A143+121,1+Resultat!$L$1,3,,))&gt;F143)))</f>
        <v>0</v>
      </c>
    </row>
    <row r="309" spans="1:6" outlineLevel="1" x14ac:dyDescent="0.2">
      <c r="A309">
        <v>23</v>
      </c>
      <c r="B309">
        <f ca="1">IF(Resultat!$H35="","",SUMPRODUCT(($B254:INDIRECT(ADDRESS($A254+231,1+Resultat!$L$1,3,,))=B254)*($B144:INDIRECT(ADDRESS($A144+121,1+Resultat!$L$1,3,,))&gt;B144)))</f>
        <v>0</v>
      </c>
      <c r="C309">
        <f ca="1">IF(Resultat!$H35="","",SUMPRODUCT(($B254:INDIRECT(ADDRESS($A254+231,1+Resultat!$L$1,3,,))=C254)*($B144:INDIRECT(ADDRESS($A144+121,1+Resultat!$L$1,3,,))&gt;C144)))</f>
        <v>0</v>
      </c>
      <c r="D309">
        <f ca="1">IF(Resultat!$H35="","",SUMPRODUCT(($B254:INDIRECT(ADDRESS($A254+231,1+Resultat!$L$1,3,,))=D254)*($B144:INDIRECT(ADDRESS($A144+121,1+Resultat!$L$1,3,,))&gt;D144)))</f>
        <v>0</v>
      </c>
      <c r="E309">
        <f ca="1">IF(Resultat!$H35="","",SUMPRODUCT(($B254:INDIRECT(ADDRESS($A254+231,1+Resultat!$L$1,3,,))=E254)*($B144:INDIRECT(ADDRESS($A144+121,1+Resultat!$L$1,3,,))&gt;E144)))</f>
        <v>0</v>
      </c>
      <c r="F309">
        <f ca="1">IF(Resultat!$H35="","",SUMPRODUCT(($B254:INDIRECT(ADDRESS($A254+231,1+Resultat!$L$1,3,,))=F254)*($B144:INDIRECT(ADDRESS($A144+121,1+Resultat!$L$1,3,,))&gt;F144)))</f>
        <v>0</v>
      </c>
    </row>
    <row r="310" spans="1:6" outlineLevel="1" x14ac:dyDescent="0.2">
      <c r="A310">
        <v>24</v>
      </c>
      <c r="B310">
        <f ca="1">IF(Resultat!$H36="","",SUMPRODUCT(($B255:INDIRECT(ADDRESS($A255+231,1+Resultat!$L$1,3,,))=B255)*($B145:INDIRECT(ADDRESS($A145+121,1+Resultat!$L$1,3,,))&gt;B145)))</f>
        <v>0</v>
      </c>
      <c r="C310">
        <f ca="1">IF(Resultat!$H36="","",SUMPRODUCT(($B255:INDIRECT(ADDRESS($A255+231,1+Resultat!$L$1,3,,))=C255)*($B145:INDIRECT(ADDRESS($A145+121,1+Resultat!$L$1,3,,))&gt;C145)))</f>
        <v>0</v>
      </c>
      <c r="D310">
        <f ca="1">IF(Resultat!$H36="","",SUMPRODUCT(($B255:INDIRECT(ADDRESS($A255+231,1+Resultat!$L$1,3,,))=D255)*($B145:INDIRECT(ADDRESS($A145+121,1+Resultat!$L$1,3,,))&gt;D145)))</f>
        <v>0</v>
      </c>
      <c r="E310">
        <f ca="1">IF(Resultat!$H36="","",SUMPRODUCT(($B255:INDIRECT(ADDRESS($A255+231,1+Resultat!$L$1,3,,))=E255)*($B145:INDIRECT(ADDRESS($A145+121,1+Resultat!$L$1,3,,))&gt;E145)))</f>
        <v>0</v>
      </c>
      <c r="F310">
        <f ca="1">IF(Resultat!$H36="","",SUMPRODUCT(($B255:INDIRECT(ADDRESS($A255+231,1+Resultat!$L$1,3,,))=F255)*($B145:INDIRECT(ADDRESS($A145+121,1+Resultat!$L$1,3,,))&gt;F145)))</f>
        <v>0</v>
      </c>
    </row>
    <row r="311" spans="1:6" outlineLevel="1" x14ac:dyDescent="0.2">
      <c r="A311">
        <v>25</v>
      </c>
      <c r="B311">
        <f ca="1">IF(Resultat!$H37="","",SUMPRODUCT(($B256:INDIRECT(ADDRESS($A256+231,1+Resultat!$L$1,3,,))=B256)*($B146:INDIRECT(ADDRESS($A146+121,1+Resultat!$L$1,3,,))&gt;B146)))</f>
        <v>0</v>
      </c>
      <c r="C311">
        <f ca="1">IF(Resultat!$H37="","",SUMPRODUCT(($B256:INDIRECT(ADDRESS($A256+231,1+Resultat!$L$1,3,,))=C256)*($B146:INDIRECT(ADDRESS($A146+121,1+Resultat!$L$1,3,,))&gt;C146)))</f>
        <v>0</v>
      </c>
      <c r="D311">
        <f ca="1">IF(Resultat!$H37="","",SUMPRODUCT(($B256:INDIRECT(ADDRESS($A256+231,1+Resultat!$L$1,3,,))=D256)*($B146:INDIRECT(ADDRESS($A146+121,1+Resultat!$L$1,3,,))&gt;D146)))</f>
        <v>0</v>
      </c>
      <c r="E311">
        <f ca="1">IF(Resultat!$H37="","",SUMPRODUCT(($B256:INDIRECT(ADDRESS($A256+231,1+Resultat!$L$1,3,,))=E256)*($B146:INDIRECT(ADDRESS($A146+121,1+Resultat!$L$1,3,,))&gt;E146)))</f>
        <v>0</v>
      </c>
      <c r="F311">
        <f ca="1">IF(Resultat!$H37="","",SUMPRODUCT(($B256:INDIRECT(ADDRESS($A256+231,1+Resultat!$L$1,3,,))=F256)*($B146:INDIRECT(ADDRESS($A146+121,1+Resultat!$L$1,3,,))&gt;F146)))</f>
        <v>0</v>
      </c>
    </row>
    <row r="312" spans="1:6" outlineLevel="1" x14ac:dyDescent="0.2">
      <c r="A312">
        <v>26</v>
      </c>
      <c r="B312">
        <f ca="1">IF(Resultat!$H38="","",SUMPRODUCT(($B257:INDIRECT(ADDRESS($A257+231,1+Resultat!$L$1,3,,))=B257)*($B147:INDIRECT(ADDRESS($A147+121,1+Resultat!$L$1,3,,))&gt;B147)))</f>
        <v>0</v>
      </c>
      <c r="C312">
        <f ca="1">IF(Resultat!$H38="","",SUMPRODUCT(($B257:INDIRECT(ADDRESS($A257+231,1+Resultat!$L$1,3,,))=C257)*($B147:INDIRECT(ADDRESS($A147+121,1+Resultat!$L$1,3,,))&gt;C147)))</f>
        <v>0</v>
      </c>
      <c r="D312">
        <f ca="1">IF(Resultat!$H38="","",SUMPRODUCT(($B257:INDIRECT(ADDRESS($A257+231,1+Resultat!$L$1,3,,))=D257)*($B147:INDIRECT(ADDRESS($A147+121,1+Resultat!$L$1,3,,))&gt;D147)))</f>
        <v>0</v>
      </c>
      <c r="E312">
        <f ca="1">IF(Resultat!$H38="","",SUMPRODUCT(($B257:INDIRECT(ADDRESS($A257+231,1+Resultat!$L$1,3,,))=E257)*($B147:INDIRECT(ADDRESS($A147+121,1+Resultat!$L$1,3,,))&gt;E147)))</f>
        <v>0</v>
      </c>
      <c r="F312">
        <f ca="1">IF(Resultat!$H38="","",SUMPRODUCT(($B257:INDIRECT(ADDRESS($A257+231,1+Resultat!$L$1,3,,))=F257)*($B147:INDIRECT(ADDRESS($A147+121,1+Resultat!$L$1,3,,))&gt;F147)))</f>
        <v>0</v>
      </c>
    </row>
    <row r="313" spans="1:6" outlineLevel="1" x14ac:dyDescent="0.2">
      <c r="A313">
        <v>27</v>
      </c>
      <c r="B313">
        <f ca="1">IF(Resultat!$H39="","",SUMPRODUCT(($B258:INDIRECT(ADDRESS($A258+231,1+Resultat!$L$1,3,,))=B258)*($B148:INDIRECT(ADDRESS($A148+121,1+Resultat!$L$1,3,,))&gt;B148)))</f>
        <v>0</v>
      </c>
      <c r="C313">
        <f ca="1">IF(Resultat!$H39="","",SUMPRODUCT(($B258:INDIRECT(ADDRESS($A258+231,1+Resultat!$L$1,3,,))=C258)*($B148:INDIRECT(ADDRESS($A148+121,1+Resultat!$L$1,3,,))&gt;C148)))</f>
        <v>0</v>
      </c>
      <c r="D313">
        <f ca="1">IF(Resultat!$H39="","",SUMPRODUCT(($B258:INDIRECT(ADDRESS($A258+231,1+Resultat!$L$1,3,,))=D258)*($B148:INDIRECT(ADDRESS($A148+121,1+Resultat!$L$1,3,,))&gt;D148)))</f>
        <v>0</v>
      </c>
      <c r="E313">
        <f ca="1">IF(Resultat!$H39="","",SUMPRODUCT(($B258:INDIRECT(ADDRESS($A258+231,1+Resultat!$L$1,3,,))=E258)*($B148:INDIRECT(ADDRESS($A148+121,1+Resultat!$L$1,3,,))&gt;E148)))</f>
        <v>0</v>
      </c>
      <c r="F313">
        <f ca="1">IF(Resultat!$H39="","",SUMPRODUCT(($B258:INDIRECT(ADDRESS($A258+231,1+Resultat!$L$1,3,,))=F258)*($B148:INDIRECT(ADDRESS($A148+121,1+Resultat!$L$1,3,,))&gt;F148)))</f>
        <v>0</v>
      </c>
    </row>
    <row r="314" spans="1:6" outlineLevel="1" x14ac:dyDescent="0.2">
      <c r="A314">
        <v>28</v>
      </c>
      <c r="B314">
        <f ca="1">IF(Resultat!$H40="","",SUMPRODUCT(($B259:INDIRECT(ADDRESS($A259+231,1+Resultat!$L$1,3,,))=B259)*($B149:INDIRECT(ADDRESS($A149+121,1+Resultat!$L$1,3,,))&gt;B149)))</f>
        <v>0</v>
      </c>
      <c r="C314">
        <f ca="1">IF(Resultat!$H40="","",SUMPRODUCT(($B259:INDIRECT(ADDRESS($A259+231,1+Resultat!$L$1,3,,))=C259)*($B149:INDIRECT(ADDRESS($A149+121,1+Resultat!$L$1,3,,))&gt;C149)))</f>
        <v>0</v>
      </c>
      <c r="D314">
        <f ca="1">IF(Resultat!$H40="","",SUMPRODUCT(($B259:INDIRECT(ADDRESS($A259+231,1+Resultat!$L$1,3,,))=D259)*($B149:INDIRECT(ADDRESS($A149+121,1+Resultat!$L$1,3,,))&gt;D149)))</f>
        <v>0</v>
      </c>
      <c r="E314">
        <f ca="1">IF(Resultat!$H40="","",SUMPRODUCT(($B259:INDIRECT(ADDRESS($A259+231,1+Resultat!$L$1,3,,))=E259)*($B149:INDIRECT(ADDRESS($A149+121,1+Resultat!$L$1,3,,))&gt;E149)))</f>
        <v>0</v>
      </c>
      <c r="F314">
        <f ca="1">IF(Resultat!$H40="","",SUMPRODUCT(($B259:INDIRECT(ADDRESS($A259+231,1+Resultat!$L$1,3,,))=F259)*($B149:INDIRECT(ADDRESS($A149+121,1+Resultat!$L$1,3,,))&gt;F149)))</f>
        <v>0</v>
      </c>
    </row>
    <row r="315" spans="1:6" outlineLevel="1" x14ac:dyDescent="0.2">
      <c r="A315">
        <v>29</v>
      </c>
      <c r="B315">
        <f ca="1">IF(Resultat!$H41="","",SUMPRODUCT(($B260:INDIRECT(ADDRESS($A260+231,1+Resultat!$L$1,3,,))=B260)*($B150:INDIRECT(ADDRESS($A150+121,1+Resultat!$L$1,3,,))&gt;B150)))</f>
        <v>0</v>
      </c>
      <c r="C315">
        <f ca="1">IF(Resultat!$H41="","",SUMPRODUCT(($B260:INDIRECT(ADDRESS($A260+231,1+Resultat!$L$1,3,,))=C260)*($B150:INDIRECT(ADDRESS($A150+121,1+Resultat!$L$1,3,,))&gt;C150)))</f>
        <v>0</v>
      </c>
      <c r="D315">
        <f ca="1">IF(Resultat!$H41="","",SUMPRODUCT(($B260:INDIRECT(ADDRESS($A260+231,1+Resultat!$L$1,3,,))=D260)*($B150:INDIRECT(ADDRESS($A150+121,1+Resultat!$L$1,3,,))&gt;D150)))</f>
        <v>0</v>
      </c>
      <c r="E315">
        <f ca="1">IF(Resultat!$H41="","",SUMPRODUCT(($B260:INDIRECT(ADDRESS($A260+231,1+Resultat!$L$1,3,,))=E260)*($B150:INDIRECT(ADDRESS($A150+121,1+Resultat!$L$1,3,,))&gt;E150)))</f>
        <v>0</v>
      </c>
      <c r="F315">
        <f ca="1">IF(Resultat!$H41="","",SUMPRODUCT(($B260:INDIRECT(ADDRESS($A260+231,1+Resultat!$L$1,3,,))=F260)*($B150:INDIRECT(ADDRESS($A150+121,1+Resultat!$L$1,3,,))&gt;F150)))</f>
        <v>0</v>
      </c>
    </row>
    <row r="316" spans="1:6" outlineLevel="1" x14ac:dyDescent="0.2">
      <c r="A316">
        <v>30</v>
      </c>
      <c r="B316">
        <f ca="1">IF(Resultat!$H42="","",SUMPRODUCT(($B261:INDIRECT(ADDRESS($A261+231,1+Resultat!$L$1,3,,))=B261)*($B151:INDIRECT(ADDRESS($A151+121,1+Resultat!$L$1,3,,))&gt;B151)))</f>
        <v>0</v>
      </c>
      <c r="C316">
        <f ca="1">IF(Resultat!$H42="","",SUMPRODUCT(($B261:INDIRECT(ADDRESS($A261+231,1+Resultat!$L$1,3,,))=C261)*($B151:INDIRECT(ADDRESS($A151+121,1+Resultat!$L$1,3,,))&gt;C151)))</f>
        <v>0</v>
      </c>
      <c r="D316">
        <f ca="1">IF(Resultat!$H42="","",SUMPRODUCT(($B261:INDIRECT(ADDRESS($A261+231,1+Resultat!$L$1,3,,))=D261)*($B151:INDIRECT(ADDRESS($A151+121,1+Resultat!$L$1,3,,))&gt;D151)))</f>
        <v>0</v>
      </c>
      <c r="E316">
        <f ca="1">IF(Resultat!$H42="","",SUMPRODUCT(($B261:INDIRECT(ADDRESS($A261+231,1+Resultat!$L$1,3,,))=E261)*($B151:INDIRECT(ADDRESS($A151+121,1+Resultat!$L$1,3,,))&gt;E151)))</f>
        <v>0</v>
      </c>
      <c r="F316">
        <f ca="1">IF(Resultat!$H42="","",SUMPRODUCT(($B261:INDIRECT(ADDRESS($A261+231,1+Resultat!$L$1,3,,))=F261)*($B151:INDIRECT(ADDRESS($A151+121,1+Resultat!$L$1,3,,))&gt;F151)))</f>
        <v>0</v>
      </c>
    </row>
    <row r="317" spans="1:6" outlineLevel="1" x14ac:dyDescent="0.2">
      <c r="A317">
        <v>31</v>
      </c>
      <c r="B317">
        <f ca="1">IF(Resultat!$H43="","",SUMPRODUCT(($B262:INDIRECT(ADDRESS($A262+231,1+Resultat!$L$1,3,,))=B262)*($B152:INDIRECT(ADDRESS($A152+121,1+Resultat!$L$1,3,,))&gt;B152)))</f>
        <v>0</v>
      </c>
      <c r="C317">
        <f ca="1">IF(Resultat!$H43="","",SUMPRODUCT(($B262:INDIRECT(ADDRESS($A262+231,1+Resultat!$L$1,3,,))=C262)*($B152:INDIRECT(ADDRESS($A152+121,1+Resultat!$L$1,3,,))&gt;C152)))</f>
        <v>0</v>
      </c>
      <c r="D317">
        <f ca="1">IF(Resultat!$H43="","",SUMPRODUCT(($B262:INDIRECT(ADDRESS($A262+231,1+Resultat!$L$1,3,,))=D262)*($B152:INDIRECT(ADDRESS($A152+121,1+Resultat!$L$1,3,,))&gt;D152)))</f>
        <v>0</v>
      </c>
      <c r="E317">
        <f ca="1">IF(Resultat!$H43="","",SUMPRODUCT(($B262:INDIRECT(ADDRESS($A262+231,1+Resultat!$L$1,3,,))=E262)*($B152:INDIRECT(ADDRESS($A152+121,1+Resultat!$L$1,3,,))&gt;E152)))</f>
        <v>0</v>
      </c>
      <c r="F317">
        <f ca="1">IF(Resultat!$H43="","",SUMPRODUCT(($B262:INDIRECT(ADDRESS($A262+231,1+Resultat!$L$1,3,,))=F262)*($B152:INDIRECT(ADDRESS($A152+121,1+Resultat!$L$1,3,,))&gt;F152)))</f>
        <v>0</v>
      </c>
    </row>
    <row r="318" spans="1:6" outlineLevel="1" x14ac:dyDescent="0.2">
      <c r="A318">
        <v>32</v>
      </c>
      <c r="B318" t="str">
        <f ca="1">IF(Resultat!$H44="","",SUMPRODUCT(($B263:INDIRECT(ADDRESS($A263+231,1+Resultat!$L$1,3,,))=B263)*($B153:INDIRECT(ADDRESS($A153+121,1+Resultat!$L$1,3,,))&gt;B153)))</f>
        <v/>
      </c>
      <c r="C318" t="str">
        <f ca="1">IF(Resultat!$H44="","",SUMPRODUCT(($B263:INDIRECT(ADDRESS($A263+231,1+Resultat!$L$1,3,,))=C263)*($B153:INDIRECT(ADDRESS($A153+121,1+Resultat!$L$1,3,,))&gt;C153)))</f>
        <v/>
      </c>
      <c r="D318" t="str">
        <f ca="1">IF(Resultat!$H44="","",SUMPRODUCT(($B263:INDIRECT(ADDRESS($A263+231,1+Resultat!$L$1,3,,))=D263)*($B153:INDIRECT(ADDRESS($A153+121,1+Resultat!$L$1,3,,))&gt;D153)))</f>
        <v/>
      </c>
      <c r="E318" t="str">
        <f ca="1">IF(Resultat!$H44="","",SUMPRODUCT(($B263:INDIRECT(ADDRESS($A263+231,1+Resultat!$L$1,3,,))=E263)*($B153:INDIRECT(ADDRESS($A153+121,1+Resultat!$L$1,3,,))&gt;E153)))</f>
        <v/>
      </c>
      <c r="F318" t="str">
        <f ca="1">IF(Resultat!$H44="","",SUMPRODUCT(($B263:INDIRECT(ADDRESS($A263+231,1+Resultat!$L$1,3,,))=F263)*($B153:INDIRECT(ADDRESS($A153+121,1+Resultat!$L$1,3,,))&gt;F153)))</f>
        <v/>
      </c>
    </row>
    <row r="319" spans="1:6" outlineLevel="1" x14ac:dyDescent="0.2">
      <c r="A319">
        <v>33</v>
      </c>
      <c r="B319" t="str">
        <f ca="1">IF(Resultat!$H45="","",SUMPRODUCT(($B264:INDIRECT(ADDRESS($A264+231,1+Resultat!$L$1,3,,))=B264)*($B154:INDIRECT(ADDRESS($A154+121,1+Resultat!$L$1,3,,))&gt;B154)))</f>
        <v/>
      </c>
      <c r="C319" t="str">
        <f ca="1">IF(Resultat!$H45="","",SUMPRODUCT(($B264:INDIRECT(ADDRESS($A264+231,1+Resultat!$L$1,3,,))=C264)*($B154:INDIRECT(ADDRESS($A154+121,1+Resultat!$L$1,3,,))&gt;C154)))</f>
        <v/>
      </c>
      <c r="D319" t="str">
        <f ca="1">IF(Resultat!$H45="","",SUMPRODUCT(($B264:INDIRECT(ADDRESS($A264+231,1+Resultat!$L$1,3,,))=D264)*($B154:INDIRECT(ADDRESS($A154+121,1+Resultat!$L$1,3,,))&gt;D154)))</f>
        <v/>
      </c>
      <c r="E319" t="str">
        <f ca="1">IF(Resultat!$H45="","",SUMPRODUCT(($B264:INDIRECT(ADDRESS($A264+231,1+Resultat!$L$1,3,,))=E264)*($B154:INDIRECT(ADDRESS($A154+121,1+Resultat!$L$1,3,,))&gt;E154)))</f>
        <v/>
      </c>
      <c r="F319" t="str">
        <f ca="1">IF(Resultat!$H45="","",SUMPRODUCT(($B264:INDIRECT(ADDRESS($A264+231,1+Resultat!$L$1,3,,))=F264)*($B154:INDIRECT(ADDRESS($A154+121,1+Resultat!$L$1,3,,))&gt;F154)))</f>
        <v/>
      </c>
    </row>
    <row r="320" spans="1:6" outlineLevel="1" x14ac:dyDescent="0.2">
      <c r="A320">
        <v>34</v>
      </c>
      <c r="B320" t="str">
        <f ca="1">IF(Resultat!$H46="","",SUMPRODUCT(($B265:INDIRECT(ADDRESS($A265+231,1+Resultat!$L$1,3,,))=B265)*($B155:INDIRECT(ADDRESS($A155+121,1+Resultat!$L$1,3,,))&gt;B155)))</f>
        <v/>
      </c>
      <c r="C320" t="str">
        <f ca="1">IF(Resultat!$H46="","",SUMPRODUCT(($B265:INDIRECT(ADDRESS($A265+231,1+Resultat!$L$1,3,,))=C265)*($B155:INDIRECT(ADDRESS($A155+121,1+Resultat!$L$1,3,,))&gt;C155)))</f>
        <v/>
      </c>
      <c r="D320" t="str">
        <f ca="1">IF(Resultat!$H46="","",SUMPRODUCT(($B265:INDIRECT(ADDRESS($A265+231,1+Resultat!$L$1,3,,))=D265)*($B155:INDIRECT(ADDRESS($A155+121,1+Resultat!$L$1,3,,))&gt;D155)))</f>
        <v/>
      </c>
      <c r="E320" t="str">
        <f ca="1">IF(Resultat!$H46="","",SUMPRODUCT(($B265:INDIRECT(ADDRESS($A265+231,1+Resultat!$L$1,3,,))=E265)*($B155:INDIRECT(ADDRESS($A155+121,1+Resultat!$L$1,3,,))&gt;E155)))</f>
        <v/>
      </c>
      <c r="F320" t="str">
        <f ca="1">IF(Resultat!$H46="","",SUMPRODUCT(($B265:INDIRECT(ADDRESS($A265+231,1+Resultat!$L$1,3,,))=F265)*($B155:INDIRECT(ADDRESS($A155+121,1+Resultat!$L$1,3,,))&gt;F155)))</f>
        <v/>
      </c>
    </row>
    <row r="321" spans="1:6" outlineLevel="1" x14ac:dyDescent="0.2">
      <c r="A321">
        <v>35</v>
      </c>
      <c r="B321" t="str">
        <f ca="1">IF(Resultat!$H47="","",SUMPRODUCT(($B266:INDIRECT(ADDRESS($A266+231,1+Resultat!$L$1,3,,))=B266)*($B156:INDIRECT(ADDRESS($A156+121,1+Resultat!$L$1,3,,))&gt;B156)))</f>
        <v/>
      </c>
      <c r="C321" t="str">
        <f ca="1">IF(Resultat!$H47="","",SUMPRODUCT(($B266:INDIRECT(ADDRESS($A266+231,1+Resultat!$L$1,3,,))=C266)*($B156:INDIRECT(ADDRESS($A156+121,1+Resultat!$L$1,3,,))&gt;C156)))</f>
        <v/>
      </c>
      <c r="D321" t="str">
        <f ca="1">IF(Resultat!$H47="","",SUMPRODUCT(($B266:INDIRECT(ADDRESS($A266+231,1+Resultat!$L$1,3,,))=D266)*($B156:INDIRECT(ADDRESS($A156+121,1+Resultat!$L$1,3,,))&gt;D156)))</f>
        <v/>
      </c>
      <c r="E321" t="str">
        <f ca="1">IF(Resultat!$H47="","",SUMPRODUCT(($B266:INDIRECT(ADDRESS($A266+231,1+Resultat!$L$1,3,,))=E266)*($B156:INDIRECT(ADDRESS($A156+121,1+Resultat!$L$1,3,,))&gt;E156)))</f>
        <v/>
      </c>
      <c r="F321" t="str">
        <f ca="1">IF(Resultat!$H47="","",SUMPRODUCT(($B266:INDIRECT(ADDRESS($A266+231,1+Resultat!$L$1,3,,))=F266)*($B156:INDIRECT(ADDRESS($A156+121,1+Resultat!$L$1,3,,))&gt;F156)))</f>
        <v/>
      </c>
    </row>
    <row r="322" spans="1:6" outlineLevel="1" x14ac:dyDescent="0.2">
      <c r="A322">
        <v>36</v>
      </c>
      <c r="B322" t="str">
        <f ca="1">IF(Resultat!$H48="","",SUMPRODUCT(($B267:INDIRECT(ADDRESS($A267+231,1+Resultat!$L$1,3,,))=B267)*($B157:INDIRECT(ADDRESS($A157+121,1+Resultat!$L$1,3,,))&gt;B157)))</f>
        <v/>
      </c>
      <c r="C322" t="str">
        <f ca="1">IF(Resultat!$H48="","",SUMPRODUCT(($B267:INDIRECT(ADDRESS($A267+231,1+Resultat!$L$1,3,,))=C267)*($B157:INDIRECT(ADDRESS($A157+121,1+Resultat!$L$1,3,,))&gt;C157)))</f>
        <v/>
      </c>
      <c r="D322" t="str">
        <f ca="1">IF(Resultat!$H48="","",SUMPRODUCT(($B267:INDIRECT(ADDRESS($A267+231,1+Resultat!$L$1,3,,))=D267)*($B157:INDIRECT(ADDRESS($A157+121,1+Resultat!$L$1,3,,))&gt;D157)))</f>
        <v/>
      </c>
      <c r="E322" t="str">
        <f ca="1">IF(Resultat!$H48="","",SUMPRODUCT(($B267:INDIRECT(ADDRESS($A267+231,1+Resultat!$L$1,3,,))=E267)*($B157:INDIRECT(ADDRESS($A157+121,1+Resultat!$L$1,3,,))&gt;E157)))</f>
        <v/>
      </c>
      <c r="F322" t="str">
        <f ca="1">IF(Resultat!$H48="","",SUMPRODUCT(($B267:INDIRECT(ADDRESS($A267+231,1+Resultat!$L$1,3,,))=F267)*($B157:INDIRECT(ADDRESS($A157+121,1+Resultat!$L$1,3,,))&gt;F157)))</f>
        <v/>
      </c>
    </row>
    <row r="323" spans="1:6" outlineLevel="1" x14ac:dyDescent="0.2">
      <c r="A323">
        <v>37</v>
      </c>
      <c r="B323" t="str">
        <f ca="1">IF(Resultat!$H49="","",SUMPRODUCT(($B268:INDIRECT(ADDRESS($A268+231,1+Resultat!$L$1,3,,))=B268)*($B158:INDIRECT(ADDRESS($A158+121,1+Resultat!$L$1,3,,))&gt;B158)))</f>
        <v/>
      </c>
      <c r="C323" t="str">
        <f ca="1">IF(Resultat!$H49="","",SUMPRODUCT(($B268:INDIRECT(ADDRESS($A268+231,1+Resultat!$L$1,3,,))=C268)*($B158:INDIRECT(ADDRESS($A158+121,1+Resultat!$L$1,3,,))&gt;C158)))</f>
        <v/>
      </c>
      <c r="D323" t="str">
        <f ca="1">IF(Resultat!$H49="","",SUMPRODUCT(($B268:INDIRECT(ADDRESS($A268+231,1+Resultat!$L$1,3,,))=D268)*($B158:INDIRECT(ADDRESS($A158+121,1+Resultat!$L$1,3,,))&gt;D158)))</f>
        <v/>
      </c>
      <c r="E323" t="str">
        <f ca="1">IF(Resultat!$H49="","",SUMPRODUCT(($B268:INDIRECT(ADDRESS($A268+231,1+Resultat!$L$1,3,,))=E268)*($B158:INDIRECT(ADDRESS($A158+121,1+Resultat!$L$1,3,,))&gt;E158)))</f>
        <v/>
      </c>
      <c r="F323" t="str">
        <f ca="1">IF(Resultat!$H49="","",SUMPRODUCT(($B268:INDIRECT(ADDRESS($A268+231,1+Resultat!$L$1,3,,))=F268)*($B158:INDIRECT(ADDRESS($A158+121,1+Resultat!$L$1,3,,))&gt;F158)))</f>
        <v/>
      </c>
    </row>
    <row r="324" spans="1:6" outlineLevel="1" x14ac:dyDescent="0.2">
      <c r="A324">
        <v>38</v>
      </c>
      <c r="B324" t="str">
        <f ca="1">IF(Resultat!$H50="","",SUMPRODUCT(($B269:INDIRECT(ADDRESS($A269+231,1+Resultat!$L$1,3,,))=B269)*($B159:INDIRECT(ADDRESS($A159+121,1+Resultat!$L$1,3,,))&gt;B159)))</f>
        <v/>
      </c>
      <c r="C324" t="str">
        <f ca="1">IF(Resultat!$H50="","",SUMPRODUCT(($B269:INDIRECT(ADDRESS($A269+231,1+Resultat!$L$1,3,,))=C269)*($B159:INDIRECT(ADDRESS($A159+121,1+Resultat!$L$1,3,,))&gt;C159)))</f>
        <v/>
      </c>
      <c r="D324" t="str">
        <f ca="1">IF(Resultat!$H50="","",SUMPRODUCT(($B269:INDIRECT(ADDRESS($A269+231,1+Resultat!$L$1,3,,))=D269)*($B159:INDIRECT(ADDRESS($A159+121,1+Resultat!$L$1,3,,))&gt;D159)))</f>
        <v/>
      </c>
      <c r="E324" t="str">
        <f ca="1">IF(Resultat!$H50="","",SUMPRODUCT(($B269:INDIRECT(ADDRESS($A269+231,1+Resultat!$L$1,3,,))=E269)*($B159:INDIRECT(ADDRESS($A159+121,1+Resultat!$L$1,3,,))&gt;E159)))</f>
        <v/>
      </c>
      <c r="F324" t="str">
        <f ca="1">IF(Resultat!$H50="","",SUMPRODUCT(($B269:INDIRECT(ADDRESS($A269+231,1+Resultat!$L$1,3,,))=F269)*($B159:INDIRECT(ADDRESS($A159+121,1+Resultat!$L$1,3,,))&gt;F159)))</f>
        <v/>
      </c>
    </row>
    <row r="325" spans="1:6" outlineLevel="1" x14ac:dyDescent="0.2">
      <c r="A325">
        <v>39</v>
      </c>
      <c r="B325" t="str">
        <f ca="1">IF(Resultat!$H51="","",SUMPRODUCT(($B270:INDIRECT(ADDRESS($A270+231,1+Resultat!$L$1,3,,))=B270)*($B160:INDIRECT(ADDRESS($A160+121,1+Resultat!$L$1,3,,))&gt;B160)))</f>
        <v/>
      </c>
      <c r="C325" t="str">
        <f ca="1">IF(Resultat!$H51="","",SUMPRODUCT(($B270:INDIRECT(ADDRESS($A270+231,1+Resultat!$L$1,3,,))=C270)*($B160:INDIRECT(ADDRESS($A160+121,1+Resultat!$L$1,3,,))&gt;C160)))</f>
        <v/>
      </c>
      <c r="D325" t="str">
        <f ca="1">IF(Resultat!$H51="","",SUMPRODUCT(($B270:INDIRECT(ADDRESS($A270+231,1+Resultat!$L$1,3,,))=D270)*($B160:INDIRECT(ADDRESS($A160+121,1+Resultat!$L$1,3,,))&gt;D160)))</f>
        <v/>
      </c>
      <c r="E325" t="str">
        <f ca="1">IF(Resultat!$H51="","",SUMPRODUCT(($B270:INDIRECT(ADDRESS($A270+231,1+Resultat!$L$1,3,,))=E270)*($B160:INDIRECT(ADDRESS($A160+121,1+Resultat!$L$1,3,,))&gt;E160)))</f>
        <v/>
      </c>
      <c r="F325" t="str">
        <f ca="1">IF(Resultat!$H51="","",SUMPRODUCT(($B270:INDIRECT(ADDRESS($A270+231,1+Resultat!$L$1,3,,))=F270)*($B160:INDIRECT(ADDRESS($A160+121,1+Resultat!$L$1,3,,))&gt;F160)))</f>
        <v/>
      </c>
    </row>
    <row r="326" spans="1:6" outlineLevel="1" x14ac:dyDescent="0.2">
      <c r="A326">
        <v>40</v>
      </c>
      <c r="B326" t="str">
        <f ca="1">IF(Resultat!$H52="","",SUMPRODUCT(($B271:INDIRECT(ADDRESS($A271+231,1+Resultat!$L$1,3,,))=B271)*($B161:INDIRECT(ADDRESS($A161+121,1+Resultat!$L$1,3,,))&gt;B161)))</f>
        <v/>
      </c>
      <c r="C326" t="str">
        <f ca="1">IF(Resultat!$H52="","",SUMPRODUCT(($B271:INDIRECT(ADDRESS($A271+231,1+Resultat!$L$1,3,,))=C271)*($B161:INDIRECT(ADDRESS($A161+121,1+Resultat!$L$1,3,,))&gt;C161)))</f>
        <v/>
      </c>
      <c r="D326" t="str">
        <f ca="1">IF(Resultat!$H52="","",SUMPRODUCT(($B271:INDIRECT(ADDRESS($A271+231,1+Resultat!$L$1,3,,))=D271)*($B161:INDIRECT(ADDRESS($A161+121,1+Resultat!$L$1,3,,))&gt;D161)))</f>
        <v/>
      </c>
      <c r="E326" t="str">
        <f ca="1">IF(Resultat!$H52="","",SUMPRODUCT(($B271:INDIRECT(ADDRESS($A271+231,1+Resultat!$L$1,3,,))=E271)*($B161:INDIRECT(ADDRESS($A161+121,1+Resultat!$L$1,3,,))&gt;E161)))</f>
        <v/>
      </c>
      <c r="F326" t="str">
        <f ca="1">IF(Resultat!$H52="","",SUMPRODUCT(($B271:INDIRECT(ADDRESS($A271+231,1+Resultat!$L$1,3,,))=F271)*($B161:INDIRECT(ADDRESS($A161+121,1+Resultat!$L$1,3,,))&gt;F161)))</f>
        <v/>
      </c>
    </row>
    <row r="327" spans="1:6" outlineLevel="1" x14ac:dyDescent="0.2">
      <c r="A327">
        <v>41</v>
      </c>
      <c r="B327" t="str">
        <f ca="1">IF(Resultat!$H53="","",SUMPRODUCT(($B272:INDIRECT(ADDRESS($A272+231,1+Resultat!$L$1,3,,))=B272)*($B162:INDIRECT(ADDRESS($A162+121,1+Resultat!$L$1,3,,))&gt;B162)))</f>
        <v/>
      </c>
      <c r="C327" t="str">
        <f ca="1">IF(Resultat!$H53="","",SUMPRODUCT(($B272:INDIRECT(ADDRESS($A272+231,1+Resultat!$L$1,3,,))=C272)*($B162:INDIRECT(ADDRESS($A162+121,1+Resultat!$L$1,3,,))&gt;C162)))</f>
        <v/>
      </c>
      <c r="D327" t="str">
        <f ca="1">IF(Resultat!$H53="","",SUMPRODUCT(($B272:INDIRECT(ADDRESS($A272+231,1+Resultat!$L$1,3,,))=D272)*($B162:INDIRECT(ADDRESS($A162+121,1+Resultat!$L$1,3,,))&gt;D162)))</f>
        <v/>
      </c>
      <c r="E327" t="str">
        <f ca="1">IF(Resultat!$H53="","",SUMPRODUCT(($B272:INDIRECT(ADDRESS($A272+231,1+Resultat!$L$1,3,,))=E272)*($B162:INDIRECT(ADDRESS($A162+121,1+Resultat!$L$1,3,,))&gt;E162)))</f>
        <v/>
      </c>
      <c r="F327" t="str">
        <f ca="1">IF(Resultat!$H53="","",SUMPRODUCT(($B272:INDIRECT(ADDRESS($A272+231,1+Resultat!$L$1,3,,))=F272)*($B162:INDIRECT(ADDRESS($A162+121,1+Resultat!$L$1,3,,))&gt;F162)))</f>
        <v/>
      </c>
    </row>
    <row r="328" spans="1:6" outlineLevel="1" x14ac:dyDescent="0.2">
      <c r="A328">
        <v>42</v>
      </c>
      <c r="B328" t="str">
        <f ca="1">IF(Resultat!$H54="","",SUMPRODUCT(($B273:INDIRECT(ADDRESS($A273+231,1+Resultat!$L$1,3,,))=B273)*($B163:INDIRECT(ADDRESS($A163+121,1+Resultat!$L$1,3,,))&gt;B163)))</f>
        <v/>
      </c>
      <c r="C328" t="str">
        <f ca="1">IF(Resultat!$H54="","",SUMPRODUCT(($B273:INDIRECT(ADDRESS($A273+231,1+Resultat!$L$1,3,,))=C273)*($B163:INDIRECT(ADDRESS($A163+121,1+Resultat!$L$1,3,,))&gt;C163)))</f>
        <v/>
      </c>
      <c r="D328" t="str">
        <f ca="1">IF(Resultat!$H54="","",SUMPRODUCT(($B273:INDIRECT(ADDRESS($A273+231,1+Resultat!$L$1,3,,))=D273)*($B163:INDIRECT(ADDRESS($A163+121,1+Resultat!$L$1,3,,))&gt;D163)))</f>
        <v/>
      </c>
      <c r="E328" t="str">
        <f ca="1">IF(Resultat!$H54="","",SUMPRODUCT(($B273:INDIRECT(ADDRESS($A273+231,1+Resultat!$L$1,3,,))=E273)*($B163:INDIRECT(ADDRESS($A163+121,1+Resultat!$L$1,3,,))&gt;E163)))</f>
        <v/>
      </c>
      <c r="F328" t="str">
        <f ca="1">IF(Resultat!$H54="","",SUMPRODUCT(($B273:INDIRECT(ADDRESS($A273+231,1+Resultat!$L$1,3,,))=F273)*($B163:INDIRECT(ADDRESS($A163+121,1+Resultat!$L$1,3,,))&gt;F163)))</f>
        <v/>
      </c>
    </row>
    <row r="329" spans="1:6" outlineLevel="1" x14ac:dyDescent="0.2">
      <c r="A329">
        <v>43</v>
      </c>
      <c r="B329" t="str">
        <f ca="1">IF(Resultat!$H55="","",SUMPRODUCT(($B274:INDIRECT(ADDRESS($A274+231,1+Resultat!$L$1,3,,))=B274)*($B164:INDIRECT(ADDRESS($A164+121,1+Resultat!$L$1,3,,))&gt;B164)))</f>
        <v/>
      </c>
      <c r="C329" t="str">
        <f ca="1">IF(Resultat!$H55="","",SUMPRODUCT(($B274:INDIRECT(ADDRESS($A274+231,1+Resultat!$L$1,3,,))=C274)*($B164:INDIRECT(ADDRESS($A164+121,1+Resultat!$L$1,3,,))&gt;C164)))</f>
        <v/>
      </c>
      <c r="D329" t="str">
        <f ca="1">IF(Resultat!$H55="","",SUMPRODUCT(($B274:INDIRECT(ADDRESS($A274+231,1+Resultat!$L$1,3,,))=D274)*($B164:INDIRECT(ADDRESS($A164+121,1+Resultat!$L$1,3,,))&gt;D164)))</f>
        <v/>
      </c>
      <c r="E329" t="str">
        <f ca="1">IF(Resultat!$H55="","",SUMPRODUCT(($B274:INDIRECT(ADDRESS($A274+231,1+Resultat!$L$1,3,,))=E274)*($B164:INDIRECT(ADDRESS($A164+121,1+Resultat!$L$1,3,,))&gt;E164)))</f>
        <v/>
      </c>
      <c r="F329" t="str">
        <f ca="1">IF(Resultat!$H55="","",SUMPRODUCT(($B274:INDIRECT(ADDRESS($A274+231,1+Resultat!$L$1,3,,))=F274)*($B164:INDIRECT(ADDRESS($A164+121,1+Resultat!$L$1,3,,))&gt;F164)))</f>
        <v/>
      </c>
    </row>
    <row r="330" spans="1:6" outlineLevel="1" x14ac:dyDescent="0.2">
      <c r="A330">
        <v>44</v>
      </c>
      <c r="B330" t="str">
        <f ca="1">IF(Resultat!$H56="","",SUMPRODUCT(($B275:INDIRECT(ADDRESS($A275+231,1+Resultat!$L$1,3,,))=B275)*($B165:INDIRECT(ADDRESS($A165+121,1+Resultat!$L$1,3,,))&gt;B165)))</f>
        <v/>
      </c>
      <c r="C330" t="str">
        <f ca="1">IF(Resultat!$H56="","",SUMPRODUCT(($B275:INDIRECT(ADDRESS($A275+231,1+Resultat!$L$1,3,,))=C275)*($B165:INDIRECT(ADDRESS($A165+121,1+Resultat!$L$1,3,,))&gt;C165)))</f>
        <v/>
      </c>
      <c r="D330" t="str">
        <f ca="1">IF(Resultat!$H56="","",SUMPRODUCT(($B275:INDIRECT(ADDRESS($A275+231,1+Resultat!$L$1,3,,))=D275)*($B165:INDIRECT(ADDRESS($A165+121,1+Resultat!$L$1,3,,))&gt;D165)))</f>
        <v/>
      </c>
      <c r="E330" t="str">
        <f ca="1">IF(Resultat!$H56="","",SUMPRODUCT(($B275:INDIRECT(ADDRESS($A275+231,1+Resultat!$L$1,3,,))=E275)*($B165:INDIRECT(ADDRESS($A165+121,1+Resultat!$L$1,3,,))&gt;E165)))</f>
        <v/>
      </c>
      <c r="F330" t="str">
        <f ca="1">IF(Resultat!$H56="","",SUMPRODUCT(($B275:INDIRECT(ADDRESS($A275+231,1+Resultat!$L$1,3,,))=F275)*($B165:INDIRECT(ADDRESS($A165+121,1+Resultat!$L$1,3,,))&gt;F165)))</f>
        <v/>
      </c>
    </row>
    <row r="331" spans="1:6" outlineLevel="1" x14ac:dyDescent="0.2">
      <c r="A331">
        <v>45</v>
      </c>
      <c r="B331" t="str">
        <f ca="1">IF(Resultat!$H57="","",SUMPRODUCT(($B276:INDIRECT(ADDRESS($A276+231,1+Resultat!$L$1,3,,))=B276)*($B166:INDIRECT(ADDRESS($A166+121,1+Resultat!$L$1,3,,))&gt;B166)))</f>
        <v/>
      </c>
      <c r="C331" t="str">
        <f ca="1">IF(Resultat!$H57="","",SUMPRODUCT(($B276:INDIRECT(ADDRESS($A276+231,1+Resultat!$L$1,3,,))=C276)*($B166:INDIRECT(ADDRESS($A166+121,1+Resultat!$L$1,3,,))&gt;C166)))</f>
        <v/>
      </c>
      <c r="D331" t="str">
        <f ca="1">IF(Resultat!$H57="","",SUMPRODUCT(($B276:INDIRECT(ADDRESS($A276+231,1+Resultat!$L$1,3,,))=D276)*($B166:INDIRECT(ADDRESS($A166+121,1+Resultat!$L$1,3,,))&gt;D166)))</f>
        <v/>
      </c>
      <c r="E331" t="str">
        <f ca="1">IF(Resultat!$H57="","",SUMPRODUCT(($B276:INDIRECT(ADDRESS($A276+231,1+Resultat!$L$1,3,,))=E276)*($B166:INDIRECT(ADDRESS($A166+121,1+Resultat!$L$1,3,,))&gt;E166)))</f>
        <v/>
      </c>
      <c r="F331" t="str">
        <f ca="1">IF(Resultat!$H57="","",SUMPRODUCT(($B276:INDIRECT(ADDRESS($A276+231,1+Resultat!$L$1,3,,))=F276)*($B166:INDIRECT(ADDRESS($A166+121,1+Resultat!$L$1,3,,))&gt;F166)))</f>
        <v/>
      </c>
    </row>
    <row r="332" spans="1:6" outlineLevel="1" x14ac:dyDescent="0.2">
      <c r="A332">
        <v>46</v>
      </c>
      <c r="B332" t="str">
        <f ca="1">IF(Resultat!$H58="","",SUMPRODUCT(($B277:INDIRECT(ADDRESS($A277+231,1+Resultat!$L$1,3,,))=B277)*($B167:INDIRECT(ADDRESS($A167+121,1+Resultat!$L$1,3,,))&gt;B167)))</f>
        <v/>
      </c>
      <c r="C332" t="str">
        <f ca="1">IF(Resultat!$H58="","",SUMPRODUCT(($B277:INDIRECT(ADDRESS($A277+231,1+Resultat!$L$1,3,,))=C277)*($B167:INDIRECT(ADDRESS($A167+121,1+Resultat!$L$1,3,,))&gt;C167)))</f>
        <v/>
      </c>
      <c r="D332" t="str">
        <f ca="1">IF(Resultat!$H58="","",SUMPRODUCT(($B277:INDIRECT(ADDRESS($A277+231,1+Resultat!$L$1,3,,))=D277)*($B167:INDIRECT(ADDRESS($A167+121,1+Resultat!$L$1,3,,))&gt;D167)))</f>
        <v/>
      </c>
      <c r="E332" t="str">
        <f ca="1">IF(Resultat!$H58="","",SUMPRODUCT(($B277:INDIRECT(ADDRESS($A277+231,1+Resultat!$L$1,3,,))=E277)*($B167:INDIRECT(ADDRESS($A167+121,1+Resultat!$L$1,3,,))&gt;E167)))</f>
        <v/>
      </c>
      <c r="F332" t="str">
        <f ca="1">IF(Resultat!$H58="","",SUMPRODUCT(($B277:INDIRECT(ADDRESS($A277+231,1+Resultat!$L$1,3,,))=F277)*($B167:INDIRECT(ADDRESS($A167+121,1+Resultat!$L$1,3,,))&gt;F167)))</f>
        <v/>
      </c>
    </row>
    <row r="333" spans="1:6" outlineLevel="1" x14ac:dyDescent="0.2">
      <c r="A333">
        <v>47</v>
      </c>
      <c r="B333" t="str">
        <f ca="1">IF(Resultat!$H59="","",SUMPRODUCT(($B278:INDIRECT(ADDRESS($A278+231,1+Resultat!$L$1,3,,))=B278)*($B168:INDIRECT(ADDRESS($A168+121,1+Resultat!$L$1,3,,))&gt;B168)))</f>
        <v/>
      </c>
      <c r="C333" t="str">
        <f ca="1">IF(Resultat!$H59="","",SUMPRODUCT(($B278:INDIRECT(ADDRESS($A278+231,1+Resultat!$L$1,3,,))=C278)*($B168:INDIRECT(ADDRESS($A168+121,1+Resultat!$L$1,3,,))&gt;C168)))</f>
        <v/>
      </c>
      <c r="D333" t="str">
        <f ca="1">IF(Resultat!$H59="","",SUMPRODUCT(($B278:INDIRECT(ADDRESS($A278+231,1+Resultat!$L$1,3,,))=D278)*($B168:INDIRECT(ADDRESS($A168+121,1+Resultat!$L$1,3,,))&gt;D168)))</f>
        <v/>
      </c>
      <c r="E333" t="str">
        <f ca="1">IF(Resultat!$H59="","",SUMPRODUCT(($B278:INDIRECT(ADDRESS($A278+231,1+Resultat!$L$1,3,,))=E278)*($B168:INDIRECT(ADDRESS($A168+121,1+Resultat!$L$1,3,,))&gt;E168)))</f>
        <v/>
      </c>
      <c r="F333" t="str">
        <f ca="1">IF(Resultat!$H59="","",SUMPRODUCT(($B278:INDIRECT(ADDRESS($A278+231,1+Resultat!$L$1,3,,))=F278)*($B168:INDIRECT(ADDRESS($A168+121,1+Resultat!$L$1,3,,))&gt;F168)))</f>
        <v/>
      </c>
    </row>
    <row r="334" spans="1:6" outlineLevel="1" x14ac:dyDescent="0.2">
      <c r="A334">
        <v>48</v>
      </c>
      <c r="B334" t="str">
        <f ca="1">IF(Resultat!$H60="","",SUMPRODUCT(($B279:INDIRECT(ADDRESS($A279+231,1+Resultat!$L$1,3,,))=B279)*($B169:INDIRECT(ADDRESS($A169+121,1+Resultat!$L$1,3,,))&gt;B169)))</f>
        <v/>
      </c>
      <c r="C334" t="str">
        <f ca="1">IF(Resultat!$H60="","",SUMPRODUCT(($B279:INDIRECT(ADDRESS($A279+231,1+Resultat!$L$1,3,,))=C279)*($B169:INDIRECT(ADDRESS($A169+121,1+Resultat!$L$1,3,,))&gt;C169)))</f>
        <v/>
      </c>
      <c r="D334" t="str">
        <f ca="1">IF(Resultat!$H60="","",SUMPRODUCT(($B279:INDIRECT(ADDRESS($A279+231,1+Resultat!$L$1,3,,))=D279)*($B169:INDIRECT(ADDRESS($A169+121,1+Resultat!$L$1,3,,))&gt;D169)))</f>
        <v/>
      </c>
      <c r="E334" t="str">
        <f ca="1">IF(Resultat!$H60="","",SUMPRODUCT(($B279:INDIRECT(ADDRESS($A279+231,1+Resultat!$L$1,3,,))=E279)*($B169:INDIRECT(ADDRESS($A169+121,1+Resultat!$L$1,3,,))&gt;E169)))</f>
        <v/>
      </c>
      <c r="F334" t="str">
        <f ca="1">IF(Resultat!$H60="","",SUMPRODUCT(($B279:INDIRECT(ADDRESS($A279+231,1+Resultat!$L$1,3,,))=F279)*($B169:INDIRECT(ADDRESS($A169+121,1+Resultat!$L$1,3,,))&gt;F169)))</f>
        <v/>
      </c>
    </row>
    <row r="335" spans="1:6" outlineLevel="1" x14ac:dyDescent="0.2">
      <c r="A335">
        <v>49</v>
      </c>
      <c r="B335" t="str">
        <f ca="1">IF(Resultat!$H61="","",SUMPRODUCT(($B280:INDIRECT(ADDRESS($A280+231,1+Resultat!$L$1,3,,))=B280)*($B170:INDIRECT(ADDRESS($A170+121,1+Resultat!$L$1,3,,))&gt;B170)))</f>
        <v/>
      </c>
      <c r="C335" t="str">
        <f ca="1">IF(Resultat!$H61="","",SUMPRODUCT(($B280:INDIRECT(ADDRESS($A280+231,1+Resultat!$L$1,3,,))=C280)*($B170:INDIRECT(ADDRESS($A170+121,1+Resultat!$L$1,3,,))&gt;C170)))</f>
        <v/>
      </c>
      <c r="D335" t="str">
        <f ca="1">IF(Resultat!$H61="","",SUMPRODUCT(($B280:INDIRECT(ADDRESS($A280+231,1+Resultat!$L$1,3,,))=D280)*($B170:INDIRECT(ADDRESS($A170+121,1+Resultat!$L$1,3,,))&gt;D170)))</f>
        <v/>
      </c>
      <c r="E335" t="str">
        <f ca="1">IF(Resultat!$H61="","",SUMPRODUCT(($B280:INDIRECT(ADDRESS($A280+231,1+Resultat!$L$1,3,,))=E280)*($B170:INDIRECT(ADDRESS($A170+121,1+Resultat!$L$1,3,,))&gt;E170)))</f>
        <v/>
      </c>
      <c r="F335" t="str">
        <f ca="1">IF(Resultat!$H61="","",SUMPRODUCT(($B280:INDIRECT(ADDRESS($A280+231,1+Resultat!$L$1,3,,))=F280)*($B170:INDIRECT(ADDRESS($A170+121,1+Resultat!$L$1,3,,))&gt;F170)))</f>
        <v/>
      </c>
    </row>
    <row r="336" spans="1:6" outlineLevel="1" x14ac:dyDescent="0.2">
      <c r="A336">
        <v>50</v>
      </c>
      <c r="B336" t="str">
        <f ca="1">IF(Resultat!$H62="","",SUMPRODUCT(($B281:INDIRECT(ADDRESS($A281+231,1+Resultat!$L$1,3,,))=B281)*($B171:INDIRECT(ADDRESS($A171+121,1+Resultat!$L$1,3,,))&gt;B171)))</f>
        <v/>
      </c>
      <c r="C336" t="str">
        <f ca="1">IF(Resultat!$H62="","",SUMPRODUCT(($B281:INDIRECT(ADDRESS($A281+231,1+Resultat!$L$1,3,,))=C281)*($B171:INDIRECT(ADDRESS($A171+121,1+Resultat!$L$1,3,,))&gt;C171)))</f>
        <v/>
      </c>
      <c r="D336" t="str">
        <f ca="1">IF(Resultat!$H62="","",SUMPRODUCT(($B281:INDIRECT(ADDRESS($A281+231,1+Resultat!$L$1,3,,))=D281)*($B171:INDIRECT(ADDRESS($A171+121,1+Resultat!$L$1,3,,))&gt;D171)))</f>
        <v/>
      </c>
      <c r="E336" t="str">
        <f ca="1">IF(Resultat!$H62="","",SUMPRODUCT(($B281:INDIRECT(ADDRESS($A281+231,1+Resultat!$L$1,3,,))=E281)*($B171:INDIRECT(ADDRESS($A171+121,1+Resultat!$L$1,3,,))&gt;E171)))</f>
        <v/>
      </c>
      <c r="F336" t="str">
        <f ca="1">IF(Resultat!$H62="","",SUMPRODUCT(($B281:INDIRECT(ADDRESS($A281+231,1+Resultat!$L$1,3,,))=F281)*($B171:INDIRECT(ADDRESS($A171+121,1+Resultat!$L$1,3,,))&gt;F171)))</f>
        <v/>
      </c>
    </row>
    <row r="337" spans="1:9" outlineLevel="1" x14ac:dyDescent="0.2">
      <c r="A337">
        <v>51</v>
      </c>
      <c r="B337" t="str">
        <f ca="1">IF(Resultat!$H63="","",SUMPRODUCT(($B282:INDIRECT(ADDRESS($A282+231,1+Resultat!$L$1,3,,))=B282)*($B172:INDIRECT(ADDRESS($A172+121,1+Resultat!$L$1,3,,))&gt;B172)))</f>
        <v/>
      </c>
      <c r="C337" t="str">
        <f ca="1">IF(Resultat!$H63="","",SUMPRODUCT(($B282:INDIRECT(ADDRESS($A282+231,1+Resultat!$L$1,3,,))=C282)*($B172:INDIRECT(ADDRESS($A172+121,1+Resultat!$L$1,3,,))&gt;C172)))</f>
        <v/>
      </c>
      <c r="D337" t="str">
        <f ca="1">IF(Resultat!$H63="","",SUMPRODUCT(($B282:INDIRECT(ADDRESS($A282+231,1+Resultat!$L$1,3,,))=D282)*($B172:INDIRECT(ADDRESS($A172+121,1+Resultat!$L$1,3,,))&gt;D172)))</f>
        <v/>
      </c>
      <c r="E337" t="str">
        <f ca="1">IF(Resultat!$H63="","",SUMPRODUCT(($B282:INDIRECT(ADDRESS($A282+231,1+Resultat!$L$1,3,,))=E282)*($B172:INDIRECT(ADDRESS($A172+121,1+Resultat!$L$1,3,,))&gt;E172)))</f>
        <v/>
      </c>
      <c r="F337" t="str">
        <f ca="1">IF(Resultat!$H63="","",SUMPRODUCT(($B282:INDIRECT(ADDRESS($A282+231,1+Resultat!$L$1,3,,))=F282)*($B172:INDIRECT(ADDRESS($A172+121,1+Resultat!$L$1,3,,))&gt;F172)))</f>
        <v/>
      </c>
    </row>
    <row r="340" spans="1:9" x14ac:dyDescent="0.2">
      <c r="B340" t="s">
        <v>105</v>
      </c>
    </row>
    <row r="341" spans="1:9" outlineLevel="1" x14ac:dyDescent="0.2">
      <c r="A341" t="s">
        <v>102</v>
      </c>
      <c r="B341" s="73" t="str">
        <f>B$1</f>
        <v>Jocke</v>
      </c>
      <c r="C341" s="73" t="str">
        <f t="shared" ref="C341:F341" si="125">C$1</f>
        <v>Markus</v>
      </c>
      <c r="D341" s="73" t="str">
        <f t="shared" si="125"/>
        <v>Rickard</v>
      </c>
      <c r="E341" s="73" t="str">
        <f t="shared" si="125"/>
        <v>Tomas</v>
      </c>
      <c r="F341" s="73" t="str">
        <f t="shared" si="125"/>
        <v>Kalle</v>
      </c>
      <c r="G341" s="73"/>
      <c r="H341" s="73"/>
      <c r="I341" s="73"/>
    </row>
    <row r="342" spans="1:9" outlineLevel="1" x14ac:dyDescent="0.2">
      <c r="A342">
        <v>1</v>
      </c>
      <c r="B342">
        <f ca="1">IF(Resultat!$H13="","",SUMPRODUCT(($B232:INDIRECT(ADDRESS($A232+231,1+Resultat!$L$1,3,,))=B232)*($B122:INDIRECT(ADDRESS($A122+121,1+Resultat!$L$1,3,,))&gt;B122)*($B177:INDIRECT(ADDRESS($A177+176,1+Resultat!$L$1,3,,))&gt;B177)))</f>
        <v>0</v>
      </c>
      <c r="C342">
        <f ca="1">IF(Resultat!$H13="","",SUMPRODUCT(($B232:INDIRECT(ADDRESS($A232+231,1+Resultat!$L$1,3,,))=C232)*($B122:INDIRECT(ADDRESS($A122+121,1+Resultat!$L$1,3,,))&gt;C122)*($B177:INDIRECT(ADDRESS($A177+176,1+Resultat!$L$1,3,,))&gt;C177)))</f>
        <v>0</v>
      </c>
      <c r="D342">
        <f ca="1">IF(Resultat!$H13="","",SUMPRODUCT(($B232:INDIRECT(ADDRESS($A232+231,1+Resultat!$L$1,3,,))=D232)*($B122:INDIRECT(ADDRESS($A122+121,1+Resultat!$L$1,3,,))&gt;D122)*($B177:INDIRECT(ADDRESS($A177+176,1+Resultat!$L$1,3,,))&gt;D177)))</f>
        <v>0</v>
      </c>
      <c r="E342">
        <f ca="1">IF(Resultat!$H13="","",SUMPRODUCT(($B232:INDIRECT(ADDRESS($A232+231,1+Resultat!$L$1,3,,))=E232)*($B122:INDIRECT(ADDRESS($A122+121,1+Resultat!$L$1,3,,))&gt;E122)*($B177:INDIRECT(ADDRESS($A177+176,1+Resultat!$L$1,3,,))&gt;E177)))</f>
        <v>0</v>
      </c>
      <c r="F342">
        <f ca="1">IF(Resultat!$H13="","",SUMPRODUCT(($B232:INDIRECT(ADDRESS($A232+231,1+Resultat!$L$1,3,,))=F232)*($B122:INDIRECT(ADDRESS($A122+121,1+Resultat!$L$1,3,,))&gt;F122)*($B177:INDIRECT(ADDRESS($A177+176,1+Resultat!$L$1,3,,))&gt;F177)))</f>
        <v>0</v>
      </c>
    </row>
    <row r="343" spans="1:9" outlineLevel="1" x14ac:dyDescent="0.2">
      <c r="A343">
        <v>2</v>
      </c>
      <c r="B343">
        <f ca="1">IF(Resultat!$H14="","",SUMPRODUCT(($B233:INDIRECT(ADDRESS($A233+231,1+Resultat!$L$1,3,,))=B233)*($B123:INDIRECT(ADDRESS($A123+121,1+Resultat!$L$1,3,,))&gt;B123)*($B178:INDIRECT(ADDRESS($A178+176,1+Resultat!$L$1,3,,))&gt;B178)))</f>
        <v>0</v>
      </c>
      <c r="C343">
        <f ca="1">IF(Resultat!$H14="","",SUMPRODUCT(($B233:INDIRECT(ADDRESS($A233+231,1+Resultat!$L$1,3,,))=C233)*($B123:INDIRECT(ADDRESS($A123+121,1+Resultat!$L$1,3,,))&gt;C123)*($B178:INDIRECT(ADDRESS($A178+176,1+Resultat!$L$1,3,,))&gt;C178)))</f>
        <v>0</v>
      </c>
      <c r="D343">
        <f ca="1">IF(Resultat!$H14="","",SUMPRODUCT(($B233:INDIRECT(ADDRESS($A233+231,1+Resultat!$L$1,3,,))=D233)*($B123:INDIRECT(ADDRESS($A123+121,1+Resultat!$L$1,3,,))&gt;D123)*($B178:INDIRECT(ADDRESS($A178+176,1+Resultat!$L$1,3,,))&gt;D178)))</f>
        <v>0</v>
      </c>
      <c r="E343">
        <f ca="1">IF(Resultat!$H14="","",SUMPRODUCT(($B233:INDIRECT(ADDRESS($A233+231,1+Resultat!$L$1,3,,))=E233)*($B123:INDIRECT(ADDRESS($A123+121,1+Resultat!$L$1,3,,))&gt;E123)*($B178:INDIRECT(ADDRESS($A178+176,1+Resultat!$L$1,3,,))&gt;E178)))</f>
        <v>0</v>
      </c>
      <c r="F343">
        <f ca="1">IF(Resultat!$H14="","",SUMPRODUCT(($B233:INDIRECT(ADDRESS($A233+231,1+Resultat!$L$1,3,,))=F233)*($B123:INDIRECT(ADDRESS($A123+121,1+Resultat!$L$1,3,,))&gt;F123)*($B178:INDIRECT(ADDRESS($A178+176,1+Resultat!$L$1,3,,))&gt;F178)))</f>
        <v>0</v>
      </c>
    </row>
    <row r="344" spans="1:9" outlineLevel="1" x14ac:dyDescent="0.2">
      <c r="A344">
        <v>3</v>
      </c>
      <c r="B344">
        <f ca="1">IF(Resultat!$H15="","",SUMPRODUCT(($B234:INDIRECT(ADDRESS($A234+231,1+Resultat!$L$1,3,,))=B234)*($B124:INDIRECT(ADDRESS($A124+121,1+Resultat!$L$1,3,,))&gt;B124)*($B179:INDIRECT(ADDRESS($A179+176,1+Resultat!$L$1,3,,))&gt;B179)))</f>
        <v>0</v>
      </c>
      <c r="C344">
        <f ca="1">IF(Resultat!$H15="","",SUMPRODUCT(($B234:INDIRECT(ADDRESS($A234+231,1+Resultat!$L$1,3,,))=C234)*($B124:INDIRECT(ADDRESS($A124+121,1+Resultat!$L$1,3,,))&gt;C124)*($B179:INDIRECT(ADDRESS($A179+176,1+Resultat!$L$1,3,,))&gt;C179)))</f>
        <v>0</v>
      </c>
      <c r="D344">
        <f ca="1">IF(Resultat!$H15="","",SUMPRODUCT(($B234:INDIRECT(ADDRESS($A234+231,1+Resultat!$L$1,3,,))=D234)*($B124:INDIRECT(ADDRESS($A124+121,1+Resultat!$L$1,3,,))&gt;D124)*($B179:INDIRECT(ADDRESS($A179+176,1+Resultat!$L$1,3,,))&gt;D179)))</f>
        <v>0</v>
      </c>
      <c r="E344">
        <f ca="1">IF(Resultat!$H15="","",SUMPRODUCT(($B234:INDIRECT(ADDRESS($A234+231,1+Resultat!$L$1,3,,))=E234)*($B124:INDIRECT(ADDRESS($A124+121,1+Resultat!$L$1,3,,))&gt;E124)*($B179:INDIRECT(ADDRESS($A179+176,1+Resultat!$L$1,3,,))&gt;E179)))</f>
        <v>0</v>
      </c>
      <c r="F344">
        <f ca="1">IF(Resultat!$H15="","",SUMPRODUCT(($B234:INDIRECT(ADDRESS($A234+231,1+Resultat!$L$1,3,,))=F234)*($B124:INDIRECT(ADDRESS($A124+121,1+Resultat!$L$1,3,,))&gt;F124)*($B179:INDIRECT(ADDRESS($A179+176,1+Resultat!$L$1,3,,))&gt;F179)))</f>
        <v>0</v>
      </c>
    </row>
    <row r="345" spans="1:9" outlineLevel="1" x14ac:dyDescent="0.2">
      <c r="A345">
        <v>4</v>
      </c>
      <c r="B345">
        <f ca="1">IF(Resultat!$H16="","",SUMPRODUCT(($B235:INDIRECT(ADDRESS($A235+231,1+Resultat!$L$1,3,,))=B235)*($B125:INDIRECT(ADDRESS($A125+121,1+Resultat!$L$1,3,,))&gt;B125)*($B180:INDIRECT(ADDRESS($A180+176,1+Resultat!$L$1,3,,))&gt;B180)))</f>
        <v>0</v>
      </c>
      <c r="C345">
        <f ca="1">IF(Resultat!$H16="","",SUMPRODUCT(($B235:INDIRECT(ADDRESS($A235+231,1+Resultat!$L$1,3,,))=C235)*($B125:INDIRECT(ADDRESS($A125+121,1+Resultat!$L$1,3,,))&gt;C125)*($B180:INDIRECT(ADDRESS($A180+176,1+Resultat!$L$1,3,,))&gt;C180)))</f>
        <v>0</v>
      </c>
      <c r="D345">
        <f ca="1">IF(Resultat!$H16="","",SUMPRODUCT(($B235:INDIRECT(ADDRESS($A235+231,1+Resultat!$L$1,3,,))=D235)*($B125:INDIRECT(ADDRESS($A125+121,1+Resultat!$L$1,3,,))&gt;D125)*($B180:INDIRECT(ADDRESS($A180+176,1+Resultat!$L$1,3,,))&gt;D180)))</f>
        <v>0</v>
      </c>
      <c r="E345">
        <f ca="1">IF(Resultat!$H16="","",SUMPRODUCT(($B235:INDIRECT(ADDRESS($A235+231,1+Resultat!$L$1,3,,))=E235)*($B125:INDIRECT(ADDRESS($A125+121,1+Resultat!$L$1,3,,))&gt;E125)*($B180:INDIRECT(ADDRESS($A180+176,1+Resultat!$L$1,3,,))&gt;E180)))</f>
        <v>0</v>
      </c>
      <c r="F345">
        <f ca="1">IF(Resultat!$H16="","",SUMPRODUCT(($B235:INDIRECT(ADDRESS($A235+231,1+Resultat!$L$1,3,,))=F235)*($B125:INDIRECT(ADDRESS($A125+121,1+Resultat!$L$1,3,,))&gt;F125)*($B180:INDIRECT(ADDRESS($A180+176,1+Resultat!$L$1,3,,))&gt;F180)))</f>
        <v>0</v>
      </c>
    </row>
    <row r="346" spans="1:9" outlineLevel="1" x14ac:dyDescent="0.2">
      <c r="A346">
        <v>5</v>
      </c>
      <c r="B346">
        <f ca="1">IF(Resultat!$H17="","",SUMPRODUCT(($B236:INDIRECT(ADDRESS($A236+231,1+Resultat!$L$1,3,,))=B236)*($B126:INDIRECT(ADDRESS($A126+121,1+Resultat!$L$1,3,,))&gt;B126)*($B181:INDIRECT(ADDRESS($A181+176,1+Resultat!$L$1,3,,))&gt;B181)))</f>
        <v>0</v>
      </c>
      <c r="C346">
        <f ca="1">IF(Resultat!$H17="","",SUMPRODUCT(($B236:INDIRECT(ADDRESS($A236+231,1+Resultat!$L$1,3,,))=C236)*($B126:INDIRECT(ADDRESS($A126+121,1+Resultat!$L$1,3,,))&gt;C126)*($B181:INDIRECT(ADDRESS($A181+176,1+Resultat!$L$1,3,,))&gt;C181)))</f>
        <v>0</v>
      </c>
      <c r="D346">
        <f ca="1">IF(Resultat!$H17="","",SUMPRODUCT(($B236:INDIRECT(ADDRESS($A236+231,1+Resultat!$L$1,3,,))=D236)*($B126:INDIRECT(ADDRESS($A126+121,1+Resultat!$L$1,3,,))&gt;D126)*($B181:INDIRECT(ADDRESS($A181+176,1+Resultat!$L$1,3,,))&gt;D181)))</f>
        <v>0</v>
      </c>
      <c r="E346">
        <f ca="1">IF(Resultat!$H17="","",SUMPRODUCT(($B236:INDIRECT(ADDRESS($A236+231,1+Resultat!$L$1,3,,))=E236)*($B126:INDIRECT(ADDRESS($A126+121,1+Resultat!$L$1,3,,))&gt;E126)*($B181:INDIRECT(ADDRESS($A181+176,1+Resultat!$L$1,3,,))&gt;E181)))</f>
        <v>0</v>
      </c>
      <c r="F346">
        <f ca="1">IF(Resultat!$H17="","",SUMPRODUCT(($B236:INDIRECT(ADDRESS($A236+231,1+Resultat!$L$1,3,,))=F236)*($B126:INDIRECT(ADDRESS($A126+121,1+Resultat!$L$1,3,,))&gt;F126)*($B181:INDIRECT(ADDRESS($A181+176,1+Resultat!$L$1,3,,))&gt;F181)))</f>
        <v>0</v>
      </c>
    </row>
    <row r="347" spans="1:9" outlineLevel="1" x14ac:dyDescent="0.2">
      <c r="A347">
        <v>6</v>
      </c>
      <c r="B347">
        <f ca="1">IF(Resultat!$H18="","",SUMPRODUCT(($B237:INDIRECT(ADDRESS($A237+231,1+Resultat!$L$1,3,,))=B237)*($B127:INDIRECT(ADDRESS($A127+121,1+Resultat!$L$1,3,,))&gt;B127)*($B182:INDIRECT(ADDRESS($A182+176,1+Resultat!$L$1,3,,))&gt;B182)))</f>
        <v>0</v>
      </c>
      <c r="C347">
        <f ca="1">IF(Resultat!$H18="","",SUMPRODUCT(($B237:INDIRECT(ADDRESS($A237+231,1+Resultat!$L$1,3,,))=C237)*($B127:INDIRECT(ADDRESS($A127+121,1+Resultat!$L$1,3,,))&gt;C127)*($B182:INDIRECT(ADDRESS($A182+176,1+Resultat!$L$1,3,,))&gt;C182)))</f>
        <v>0</v>
      </c>
      <c r="D347">
        <f ca="1">IF(Resultat!$H18="","",SUMPRODUCT(($B237:INDIRECT(ADDRESS($A237+231,1+Resultat!$L$1,3,,))=D237)*($B127:INDIRECT(ADDRESS($A127+121,1+Resultat!$L$1,3,,))&gt;D127)*($B182:INDIRECT(ADDRESS($A182+176,1+Resultat!$L$1,3,,))&gt;D182)))</f>
        <v>0</v>
      </c>
      <c r="E347">
        <f ca="1">IF(Resultat!$H18="","",SUMPRODUCT(($B237:INDIRECT(ADDRESS($A237+231,1+Resultat!$L$1,3,,))=E237)*($B127:INDIRECT(ADDRESS($A127+121,1+Resultat!$L$1,3,,))&gt;E127)*($B182:INDIRECT(ADDRESS($A182+176,1+Resultat!$L$1,3,,))&gt;E182)))</f>
        <v>0</v>
      </c>
      <c r="F347">
        <f ca="1">IF(Resultat!$H18="","",SUMPRODUCT(($B237:INDIRECT(ADDRESS($A237+231,1+Resultat!$L$1,3,,))=F237)*($B127:INDIRECT(ADDRESS($A127+121,1+Resultat!$L$1,3,,))&gt;F127)*($B182:INDIRECT(ADDRESS($A182+176,1+Resultat!$L$1,3,,))&gt;F182)))</f>
        <v>0</v>
      </c>
    </row>
    <row r="348" spans="1:9" outlineLevel="1" x14ac:dyDescent="0.2">
      <c r="A348">
        <v>7</v>
      </c>
      <c r="B348">
        <f ca="1">IF(Resultat!$H19="","",SUMPRODUCT(($B238:INDIRECT(ADDRESS($A238+231,1+Resultat!$L$1,3,,))=B238)*($B128:INDIRECT(ADDRESS($A128+121,1+Resultat!$L$1,3,,))&gt;B128)*($B183:INDIRECT(ADDRESS($A183+176,1+Resultat!$L$1,3,,))&gt;B183)))</f>
        <v>0</v>
      </c>
      <c r="C348">
        <f ca="1">IF(Resultat!$H19="","",SUMPRODUCT(($B238:INDIRECT(ADDRESS($A238+231,1+Resultat!$L$1,3,,))=C238)*($B128:INDIRECT(ADDRESS($A128+121,1+Resultat!$L$1,3,,))&gt;C128)*($B183:INDIRECT(ADDRESS($A183+176,1+Resultat!$L$1,3,,))&gt;C183)))</f>
        <v>0</v>
      </c>
      <c r="D348">
        <f ca="1">IF(Resultat!$H19="","",SUMPRODUCT(($B238:INDIRECT(ADDRESS($A238+231,1+Resultat!$L$1,3,,))=D238)*($B128:INDIRECT(ADDRESS($A128+121,1+Resultat!$L$1,3,,))&gt;D128)*($B183:INDIRECT(ADDRESS($A183+176,1+Resultat!$L$1,3,,))&gt;D183)))</f>
        <v>0</v>
      </c>
      <c r="E348">
        <f ca="1">IF(Resultat!$H19="","",SUMPRODUCT(($B238:INDIRECT(ADDRESS($A238+231,1+Resultat!$L$1,3,,))=E238)*($B128:INDIRECT(ADDRESS($A128+121,1+Resultat!$L$1,3,,))&gt;E128)*($B183:INDIRECT(ADDRESS($A183+176,1+Resultat!$L$1,3,,))&gt;E183)))</f>
        <v>0</v>
      </c>
      <c r="F348">
        <f ca="1">IF(Resultat!$H19="","",SUMPRODUCT(($B238:INDIRECT(ADDRESS($A238+231,1+Resultat!$L$1,3,,))=F238)*($B128:INDIRECT(ADDRESS($A128+121,1+Resultat!$L$1,3,,))&gt;F128)*($B183:INDIRECT(ADDRESS($A183+176,1+Resultat!$L$1,3,,))&gt;F183)))</f>
        <v>0</v>
      </c>
    </row>
    <row r="349" spans="1:9" outlineLevel="1" x14ac:dyDescent="0.2">
      <c r="A349">
        <v>8</v>
      </c>
      <c r="B349">
        <f ca="1">IF(Resultat!$H20="","",SUMPRODUCT(($B239:INDIRECT(ADDRESS($A239+231,1+Resultat!$L$1,3,,))=B239)*($B129:INDIRECT(ADDRESS($A129+121,1+Resultat!$L$1,3,,))&gt;B129)*($B184:INDIRECT(ADDRESS($A184+176,1+Resultat!$L$1,3,,))&gt;B184)))</f>
        <v>0</v>
      </c>
      <c r="C349">
        <f ca="1">IF(Resultat!$H20="","",SUMPRODUCT(($B239:INDIRECT(ADDRESS($A239+231,1+Resultat!$L$1,3,,))=C239)*($B129:INDIRECT(ADDRESS($A129+121,1+Resultat!$L$1,3,,))&gt;C129)*($B184:INDIRECT(ADDRESS($A184+176,1+Resultat!$L$1,3,,))&gt;C184)))</f>
        <v>0</v>
      </c>
      <c r="D349">
        <f ca="1">IF(Resultat!$H20="","",SUMPRODUCT(($B239:INDIRECT(ADDRESS($A239+231,1+Resultat!$L$1,3,,))=D239)*($B129:INDIRECT(ADDRESS($A129+121,1+Resultat!$L$1,3,,))&gt;D129)*($B184:INDIRECT(ADDRESS($A184+176,1+Resultat!$L$1,3,,))&gt;D184)))</f>
        <v>0</v>
      </c>
      <c r="E349">
        <f ca="1">IF(Resultat!$H20="","",SUMPRODUCT(($B239:INDIRECT(ADDRESS($A239+231,1+Resultat!$L$1,3,,))=E239)*($B129:INDIRECT(ADDRESS($A129+121,1+Resultat!$L$1,3,,))&gt;E129)*($B184:INDIRECT(ADDRESS($A184+176,1+Resultat!$L$1,3,,))&gt;E184)))</f>
        <v>0</v>
      </c>
      <c r="F349">
        <f ca="1">IF(Resultat!$H20="","",SUMPRODUCT(($B239:INDIRECT(ADDRESS($A239+231,1+Resultat!$L$1,3,,))=F239)*($B129:INDIRECT(ADDRESS($A129+121,1+Resultat!$L$1,3,,))&gt;F129)*($B184:INDIRECT(ADDRESS($A184+176,1+Resultat!$L$1,3,,))&gt;F184)))</f>
        <v>0</v>
      </c>
    </row>
    <row r="350" spans="1:9" outlineLevel="1" x14ac:dyDescent="0.2">
      <c r="A350">
        <v>9</v>
      </c>
      <c r="B350">
        <f ca="1">IF(Resultat!$H21="","",SUMPRODUCT(($B240:INDIRECT(ADDRESS($A240+231,1+Resultat!$L$1,3,,))=B240)*($B130:INDIRECT(ADDRESS($A130+121,1+Resultat!$L$1,3,,))&gt;B130)*($B185:INDIRECT(ADDRESS($A185+176,1+Resultat!$L$1,3,,))&gt;B185)))</f>
        <v>0</v>
      </c>
      <c r="C350">
        <f ca="1">IF(Resultat!$H21="","",SUMPRODUCT(($B240:INDIRECT(ADDRESS($A240+231,1+Resultat!$L$1,3,,))=C240)*($B130:INDIRECT(ADDRESS($A130+121,1+Resultat!$L$1,3,,))&gt;C130)*($B185:INDIRECT(ADDRESS($A185+176,1+Resultat!$L$1,3,,))&gt;C185)))</f>
        <v>0</v>
      </c>
      <c r="D350">
        <f ca="1">IF(Resultat!$H21="","",SUMPRODUCT(($B240:INDIRECT(ADDRESS($A240+231,1+Resultat!$L$1,3,,))=D240)*($B130:INDIRECT(ADDRESS($A130+121,1+Resultat!$L$1,3,,))&gt;D130)*($B185:INDIRECT(ADDRESS($A185+176,1+Resultat!$L$1,3,,))&gt;D185)))</f>
        <v>0</v>
      </c>
      <c r="E350">
        <f ca="1">IF(Resultat!$H21="","",SUMPRODUCT(($B240:INDIRECT(ADDRESS($A240+231,1+Resultat!$L$1,3,,))=E240)*($B130:INDIRECT(ADDRESS($A130+121,1+Resultat!$L$1,3,,))&gt;E130)*($B185:INDIRECT(ADDRESS($A185+176,1+Resultat!$L$1,3,,))&gt;E185)))</f>
        <v>0</v>
      </c>
      <c r="F350">
        <f ca="1">IF(Resultat!$H21="","",SUMPRODUCT(($B240:INDIRECT(ADDRESS($A240+231,1+Resultat!$L$1,3,,))=F240)*($B130:INDIRECT(ADDRESS($A130+121,1+Resultat!$L$1,3,,))&gt;F130)*($B185:INDIRECT(ADDRESS($A185+176,1+Resultat!$L$1,3,,))&gt;F185)))</f>
        <v>0</v>
      </c>
    </row>
    <row r="351" spans="1:9" outlineLevel="1" x14ac:dyDescent="0.2">
      <c r="A351">
        <v>10</v>
      </c>
      <c r="B351">
        <f ca="1">IF(Resultat!$H22="","",SUMPRODUCT(($B241:INDIRECT(ADDRESS($A241+231,1+Resultat!$L$1,3,,))=B241)*($B131:INDIRECT(ADDRESS($A131+121,1+Resultat!$L$1,3,,))&gt;B131)*($B186:INDIRECT(ADDRESS($A186+176,1+Resultat!$L$1,3,,))&gt;B186)))</f>
        <v>0</v>
      </c>
      <c r="C351">
        <f ca="1">IF(Resultat!$H22="","",SUMPRODUCT(($B241:INDIRECT(ADDRESS($A241+231,1+Resultat!$L$1,3,,))=C241)*($B131:INDIRECT(ADDRESS($A131+121,1+Resultat!$L$1,3,,))&gt;C131)*($B186:INDIRECT(ADDRESS($A186+176,1+Resultat!$L$1,3,,))&gt;C186)))</f>
        <v>0</v>
      </c>
      <c r="D351">
        <f ca="1">IF(Resultat!$H22="","",SUMPRODUCT(($B241:INDIRECT(ADDRESS($A241+231,1+Resultat!$L$1,3,,))=D241)*($B131:INDIRECT(ADDRESS($A131+121,1+Resultat!$L$1,3,,))&gt;D131)*($B186:INDIRECT(ADDRESS($A186+176,1+Resultat!$L$1,3,,))&gt;D186)))</f>
        <v>0</v>
      </c>
      <c r="E351">
        <f ca="1">IF(Resultat!$H22="","",SUMPRODUCT(($B241:INDIRECT(ADDRESS($A241+231,1+Resultat!$L$1,3,,))=E241)*($B131:INDIRECT(ADDRESS($A131+121,1+Resultat!$L$1,3,,))&gt;E131)*($B186:INDIRECT(ADDRESS($A186+176,1+Resultat!$L$1,3,,))&gt;E186)))</f>
        <v>0</v>
      </c>
      <c r="F351">
        <f ca="1">IF(Resultat!$H22="","",SUMPRODUCT(($B241:INDIRECT(ADDRESS($A241+231,1+Resultat!$L$1,3,,))=F241)*($B131:INDIRECT(ADDRESS($A131+121,1+Resultat!$L$1,3,,))&gt;F131)*($B186:INDIRECT(ADDRESS($A186+176,1+Resultat!$L$1,3,,))&gt;F186)))</f>
        <v>0</v>
      </c>
    </row>
    <row r="352" spans="1:9" outlineLevel="1" x14ac:dyDescent="0.2">
      <c r="A352">
        <v>11</v>
      </c>
      <c r="B352">
        <f ca="1">IF(Resultat!$H23="","",SUMPRODUCT(($B242:INDIRECT(ADDRESS($A242+231,1+Resultat!$L$1,3,,))=B242)*($B132:INDIRECT(ADDRESS($A132+121,1+Resultat!$L$1,3,,))&gt;B132)*($B187:INDIRECT(ADDRESS($A187+176,1+Resultat!$L$1,3,,))&gt;B187)))</f>
        <v>0</v>
      </c>
      <c r="C352">
        <f ca="1">IF(Resultat!$H23="","",SUMPRODUCT(($B242:INDIRECT(ADDRESS($A242+231,1+Resultat!$L$1,3,,))=C242)*($B132:INDIRECT(ADDRESS($A132+121,1+Resultat!$L$1,3,,))&gt;C132)*($B187:INDIRECT(ADDRESS($A187+176,1+Resultat!$L$1,3,,))&gt;C187)))</f>
        <v>0</v>
      </c>
      <c r="D352">
        <f ca="1">IF(Resultat!$H23="","",SUMPRODUCT(($B242:INDIRECT(ADDRESS($A242+231,1+Resultat!$L$1,3,,))=D242)*($B132:INDIRECT(ADDRESS($A132+121,1+Resultat!$L$1,3,,))&gt;D132)*($B187:INDIRECT(ADDRESS($A187+176,1+Resultat!$L$1,3,,))&gt;D187)))</f>
        <v>0</v>
      </c>
      <c r="E352">
        <f ca="1">IF(Resultat!$H23="","",SUMPRODUCT(($B242:INDIRECT(ADDRESS($A242+231,1+Resultat!$L$1,3,,))=E242)*($B132:INDIRECT(ADDRESS($A132+121,1+Resultat!$L$1,3,,))&gt;E132)*($B187:INDIRECT(ADDRESS($A187+176,1+Resultat!$L$1,3,,))&gt;E187)))</f>
        <v>0</v>
      </c>
      <c r="F352">
        <f ca="1">IF(Resultat!$H23="","",SUMPRODUCT(($B242:INDIRECT(ADDRESS($A242+231,1+Resultat!$L$1,3,,))=F242)*($B132:INDIRECT(ADDRESS($A132+121,1+Resultat!$L$1,3,,))&gt;F132)*($B187:INDIRECT(ADDRESS($A187+176,1+Resultat!$L$1,3,,))&gt;F187)))</f>
        <v>0</v>
      </c>
    </row>
    <row r="353" spans="1:6" outlineLevel="1" x14ac:dyDescent="0.2">
      <c r="A353">
        <v>12</v>
      </c>
      <c r="B353">
        <f ca="1">IF(Resultat!$H24="","",SUMPRODUCT(($B243:INDIRECT(ADDRESS($A243+231,1+Resultat!$L$1,3,,))=B243)*($B133:INDIRECT(ADDRESS($A133+121,1+Resultat!$L$1,3,,))&gt;B133)*($B188:INDIRECT(ADDRESS($A188+176,1+Resultat!$L$1,3,,))&gt;B188)))</f>
        <v>0</v>
      </c>
      <c r="C353">
        <f ca="1">IF(Resultat!$H24="","",SUMPRODUCT(($B243:INDIRECT(ADDRESS($A243+231,1+Resultat!$L$1,3,,))=C243)*($B133:INDIRECT(ADDRESS($A133+121,1+Resultat!$L$1,3,,))&gt;C133)*($B188:INDIRECT(ADDRESS($A188+176,1+Resultat!$L$1,3,,))&gt;C188)))</f>
        <v>0</v>
      </c>
      <c r="D353">
        <f ca="1">IF(Resultat!$H24="","",SUMPRODUCT(($B243:INDIRECT(ADDRESS($A243+231,1+Resultat!$L$1,3,,))=D243)*($B133:INDIRECT(ADDRESS($A133+121,1+Resultat!$L$1,3,,))&gt;D133)*($B188:INDIRECT(ADDRESS($A188+176,1+Resultat!$L$1,3,,))&gt;D188)))</f>
        <v>0</v>
      </c>
      <c r="E353">
        <f ca="1">IF(Resultat!$H24="","",SUMPRODUCT(($B243:INDIRECT(ADDRESS($A243+231,1+Resultat!$L$1,3,,))=E243)*($B133:INDIRECT(ADDRESS($A133+121,1+Resultat!$L$1,3,,))&gt;E133)*($B188:INDIRECT(ADDRESS($A188+176,1+Resultat!$L$1,3,,))&gt;E188)))</f>
        <v>0</v>
      </c>
      <c r="F353">
        <f ca="1">IF(Resultat!$H24="","",SUMPRODUCT(($B243:INDIRECT(ADDRESS($A243+231,1+Resultat!$L$1,3,,))=F243)*($B133:INDIRECT(ADDRESS($A133+121,1+Resultat!$L$1,3,,))&gt;F133)*($B188:INDIRECT(ADDRESS($A188+176,1+Resultat!$L$1,3,,))&gt;F188)))</f>
        <v>0</v>
      </c>
    </row>
    <row r="354" spans="1:6" outlineLevel="1" x14ac:dyDescent="0.2">
      <c r="A354">
        <v>13</v>
      </c>
      <c r="B354">
        <f ca="1">IF(Resultat!$H25="","",SUMPRODUCT(($B244:INDIRECT(ADDRESS($A244+231,1+Resultat!$L$1,3,,))=B244)*($B134:INDIRECT(ADDRESS($A134+121,1+Resultat!$L$1,3,,))&gt;B134)*($B189:INDIRECT(ADDRESS($A189+176,1+Resultat!$L$1,3,,))&gt;B189)))</f>
        <v>0</v>
      </c>
      <c r="C354">
        <f ca="1">IF(Resultat!$H25="","",SUMPRODUCT(($B244:INDIRECT(ADDRESS($A244+231,1+Resultat!$L$1,3,,))=C244)*($B134:INDIRECT(ADDRESS($A134+121,1+Resultat!$L$1,3,,))&gt;C134)*($B189:INDIRECT(ADDRESS($A189+176,1+Resultat!$L$1,3,,))&gt;C189)))</f>
        <v>0</v>
      </c>
      <c r="D354">
        <f ca="1">IF(Resultat!$H25="","",SUMPRODUCT(($B244:INDIRECT(ADDRESS($A244+231,1+Resultat!$L$1,3,,))=D244)*($B134:INDIRECT(ADDRESS($A134+121,1+Resultat!$L$1,3,,))&gt;D134)*($B189:INDIRECT(ADDRESS($A189+176,1+Resultat!$L$1,3,,))&gt;D189)))</f>
        <v>0</v>
      </c>
      <c r="E354">
        <f ca="1">IF(Resultat!$H25="","",SUMPRODUCT(($B244:INDIRECT(ADDRESS($A244+231,1+Resultat!$L$1,3,,))=E244)*($B134:INDIRECT(ADDRESS($A134+121,1+Resultat!$L$1,3,,))&gt;E134)*($B189:INDIRECT(ADDRESS($A189+176,1+Resultat!$L$1,3,,))&gt;E189)))</f>
        <v>0</v>
      </c>
      <c r="F354">
        <f ca="1">IF(Resultat!$H25="","",SUMPRODUCT(($B244:INDIRECT(ADDRESS($A244+231,1+Resultat!$L$1,3,,))=F244)*($B134:INDIRECT(ADDRESS($A134+121,1+Resultat!$L$1,3,,))&gt;F134)*($B189:INDIRECT(ADDRESS($A189+176,1+Resultat!$L$1,3,,))&gt;F189)))</f>
        <v>0</v>
      </c>
    </row>
    <row r="355" spans="1:6" outlineLevel="1" x14ac:dyDescent="0.2">
      <c r="A355">
        <v>14</v>
      </c>
      <c r="B355">
        <f ca="1">IF(Resultat!$H26="","",SUMPRODUCT(($B245:INDIRECT(ADDRESS($A245+231,1+Resultat!$L$1,3,,))=B245)*($B135:INDIRECT(ADDRESS($A135+121,1+Resultat!$L$1,3,,))&gt;B135)*($B190:INDIRECT(ADDRESS($A190+176,1+Resultat!$L$1,3,,))&gt;B190)))</f>
        <v>0</v>
      </c>
      <c r="C355">
        <f ca="1">IF(Resultat!$H26="","",SUMPRODUCT(($B245:INDIRECT(ADDRESS($A245+231,1+Resultat!$L$1,3,,))=C245)*($B135:INDIRECT(ADDRESS($A135+121,1+Resultat!$L$1,3,,))&gt;C135)*($B190:INDIRECT(ADDRESS($A190+176,1+Resultat!$L$1,3,,))&gt;C190)))</f>
        <v>0</v>
      </c>
      <c r="D355">
        <f ca="1">IF(Resultat!$H26="","",SUMPRODUCT(($B245:INDIRECT(ADDRESS($A245+231,1+Resultat!$L$1,3,,))=D245)*($B135:INDIRECT(ADDRESS($A135+121,1+Resultat!$L$1,3,,))&gt;D135)*($B190:INDIRECT(ADDRESS($A190+176,1+Resultat!$L$1,3,,))&gt;D190)))</f>
        <v>0</v>
      </c>
      <c r="E355">
        <f ca="1">IF(Resultat!$H26="","",SUMPRODUCT(($B245:INDIRECT(ADDRESS($A245+231,1+Resultat!$L$1,3,,))=E245)*($B135:INDIRECT(ADDRESS($A135+121,1+Resultat!$L$1,3,,))&gt;E135)*($B190:INDIRECT(ADDRESS($A190+176,1+Resultat!$L$1,3,,))&gt;E190)))</f>
        <v>0</v>
      </c>
      <c r="F355">
        <f ca="1">IF(Resultat!$H26="","",SUMPRODUCT(($B245:INDIRECT(ADDRESS($A245+231,1+Resultat!$L$1,3,,))=F245)*($B135:INDIRECT(ADDRESS($A135+121,1+Resultat!$L$1,3,,))&gt;F135)*($B190:INDIRECT(ADDRESS($A190+176,1+Resultat!$L$1,3,,))&gt;F190)))</f>
        <v>0</v>
      </c>
    </row>
    <row r="356" spans="1:6" outlineLevel="1" x14ac:dyDescent="0.2">
      <c r="A356">
        <v>15</v>
      </c>
      <c r="B356">
        <f ca="1">IF(Resultat!$H27="","",SUMPRODUCT(($B246:INDIRECT(ADDRESS($A246+231,1+Resultat!$L$1,3,,))=B246)*($B136:INDIRECT(ADDRESS($A136+121,1+Resultat!$L$1,3,,))&gt;B136)*($B191:INDIRECT(ADDRESS($A191+176,1+Resultat!$L$1,3,,))&gt;B191)))</f>
        <v>0</v>
      </c>
      <c r="C356">
        <f ca="1">IF(Resultat!$H27="","",SUMPRODUCT(($B246:INDIRECT(ADDRESS($A246+231,1+Resultat!$L$1,3,,))=C246)*($B136:INDIRECT(ADDRESS($A136+121,1+Resultat!$L$1,3,,))&gt;C136)*($B191:INDIRECT(ADDRESS($A191+176,1+Resultat!$L$1,3,,))&gt;C191)))</f>
        <v>0</v>
      </c>
      <c r="D356">
        <f ca="1">IF(Resultat!$H27="","",SUMPRODUCT(($B246:INDIRECT(ADDRESS($A246+231,1+Resultat!$L$1,3,,))=D246)*($B136:INDIRECT(ADDRESS($A136+121,1+Resultat!$L$1,3,,))&gt;D136)*($B191:INDIRECT(ADDRESS($A191+176,1+Resultat!$L$1,3,,))&gt;D191)))</f>
        <v>0</v>
      </c>
      <c r="E356">
        <f ca="1">IF(Resultat!$H27="","",SUMPRODUCT(($B246:INDIRECT(ADDRESS($A246+231,1+Resultat!$L$1,3,,))=E246)*($B136:INDIRECT(ADDRESS($A136+121,1+Resultat!$L$1,3,,))&gt;E136)*($B191:INDIRECT(ADDRESS($A191+176,1+Resultat!$L$1,3,,))&gt;E191)))</f>
        <v>0</v>
      </c>
      <c r="F356">
        <f ca="1">IF(Resultat!$H27="","",SUMPRODUCT(($B246:INDIRECT(ADDRESS($A246+231,1+Resultat!$L$1,3,,))=F246)*($B136:INDIRECT(ADDRESS($A136+121,1+Resultat!$L$1,3,,))&gt;F136)*($B191:INDIRECT(ADDRESS($A191+176,1+Resultat!$L$1,3,,))&gt;F191)))</f>
        <v>0</v>
      </c>
    </row>
    <row r="357" spans="1:6" outlineLevel="1" x14ac:dyDescent="0.2">
      <c r="A357">
        <v>16</v>
      </c>
      <c r="B357">
        <f ca="1">IF(Resultat!$H28="","",SUMPRODUCT(($B247:INDIRECT(ADDRESS($A247+231,1+Resultat!$L$1,3,,))=B247)*($B137:INDIRECT(ADDRESS($A137+121,1+Resultat!$L$1,3,,))&gt;B137)*($B192:INDIRECT(ADDRESS($A192+176,1+Resultat!$L$1,3,,))&gt;B192)))</f>
        <v>0</v>
      </c>
      <c r="C357">
        <f ca="1">IF(Resultat!$H28="","",SUMPRODUCT(($B247:INDIRECT(ADDRESS($A247+231,1+Resultat!$L$1,3,,))=C247)*($B137:INDIRECT(ADDRESS($A137+121,1+Resultat!$L$1,3,,))&gt;C137)*($B192:INDIRECT(ADDRESS($A192+176,1+Resultat!$L$1,3,,))&gt;C192)))</f>
        <v>0</v>
      </c>
      <c r="D357">
        <f ca="1">IF(Resultat!$H28="","",SUMPRODUCT(($B247:INDIRECT(ADDRESS($A247+231,1+Resultat!$L$1,3,,))=D247)*($B137:INDIRECT(ADDRESS($A137+121,1+Resultat!$L$1,3,,))&gt;D137)*($B192:INDIRECT(ADDRESS($A192+176,1+Resultat!$L$1,3,,))&gt;D192)))</f>
        <v>0</v>
      </c>
      <c r="E357">
        <f ca="1">IF(Resultat!$H28="","",SUMPRODUCT(($B247:INDIRECT(ADDRESS($A247+231,1+Resultat!$L$1,3,,))=E247)*($B137:INDIRECT(ADDRESS($A137+121,1+Resultat!$L$1,3,,))&gt;E137)*($B192:INDIRECT(ADDRESS($A192+176,1+Resultat!$L$1,3,,))&gt;E192)))</f>
        <v>0</v>
      </c>
      <c r="F357">
        <f ca="1">IF(Resultat!$H28="","",SUMPRODUCT(($B247:INDIRECT(ADDRESS($A247+231,1+Resultat!$L$1,3,,))=F247)*($B137:INDIRECT(ADDRESS($A137+121,1+Resultat!$L$1,3,,))&gt;F137)*($B192:INDIRECT(ADDRESS($A192+176,1+Resultat!$L$1,3,,))&gt;F192)))</f>
        <v>0</v>
      </c>
    </row>
    <row r="358" spans="1:6" outlineLevel="1" x14ac:dyDescent="0.2">
      <c r="A358">
        <v>17</v>
      </c>
      <c r="B358">
        <f ca="1">IF(Resultat!$H29="","",SUMPRODUCT(($B248:INDIRECT(ADDRESS($A248+231,1+Resultat!$L$1,3,,))=B248)*($B138:INDIRECT(ADDRESS($A138+121,1+Resultat!$L$1,3,,))&gt;B138)*($B193:INDIRECT(ADDRESS($A193+176,1+Resultat!$L$1,3,,))&gt;B193)))</f>
        <v>0</v>
      </c>
      <c r="C358">
        <f ca="1">IF(Resultat!$H29="","",SUMPRODUCT(($B248:INDIRECT(ADDRESS($A248+231,1+Resultat!$L$1,3,,))=C248)*($B138:INDIRECT(ADDRESS($A138+121,1+Resultat!$L$1,3,,))&gt;C138)*($B193:INDIRECT(ADDRESS($A193+176,1+Resultat!$L$1,3,,))&gt;C193)))</f>
        <v>0</v>
      </c>
      <c r="D358">
        <f ca="1">IF(Resultat!$H29="","",SUMPRODUCT(($B248:INDIRECT(ADDRESS($A248+231,1+Resultat!$L$1,3,,))=D248)*($B138:INDIRECT(ADDRESS($A138+121,1+Resultat!$L$1,3,,))&gt;D138)*($B193:INDIRECT(ADDRESS($A193+176,1+Resultat!$L$1,3,,))&gt;D193)))</f>
        <v>0</v>
      </c>
      <c r="E358">
        <f ca="1">IF(Resultat!$H29="","",SUMPRODUCT(($B248:INDIRECT(ADDRESS($A248+231,1+Resultat!$L$1,3,,))=E248)*($B138:INDIRECT(ADDRESS($A138+121,1+Resultat!$L$1,3,,))&gt;E138)*($B193:INDIRECT(ADDRESS($A193+176,1+Resultat!$L$1,3,,))&gt;E193)))</f>
        <v>0</v>
      </c>
      <c r="F358">
        <f ca="1">IF(Resultat!$H29="","",SUMPRODUCT(($B248:INDIRECT(ADDRESS($A248+231,1+Resultat!$L$1,3,,))=F248)*($B138:INDIRECT(ADDRESS($A138+121,1+Resultat!$L$1,3,,))&gt;F138)*($B193:INDIRECT(ADDRESS($A193+176,1+Resultat!$L$1,3,,))&gt;F193)))</f>
        <v>0</v>
      </c>
    </row>
    <row r="359" spans="1:6" outlineLevel="1" x14ac:dyDescent="0.2">
      <c r="A359">
        <v>18</v>
      </c>
      <c r="B359">
        <f ca="1">IF(Resultat!$H30="","",SUMPRODUCT(($B249:INDIRECT(ADDRESS($A249+231,1+Resultat!$L$1,3,,))=B249)*($B139:INDIRECT(ADDRESS($A139+121,1+Resultat!$L$1,3,,))&gt;B139)*($B194:INDIRECT(ADDRESS($A194+176,1+Resultat!$L$1,3,,))&gt;B194)))</f>
        <v>0</v>
      </c>
      <c r="C359">
        <f ca="1">IF(Resultat!$H30="","",SUMPRODUCT(($B249:INDIRECT(ADDRESS($A249+231,1+Resultat!$L$1,3,,))=C249)*($B139:INDIRECT(ADDRESS($A139+121,1+Resultat!$L$1,3,,))&gt;C139)*($B194:INDIRECT(ADDRESS($A194+176,1+Resultat!$L$1,3,,))&gt;C194)))</f>
        <v>0</v>
      </c>
      <c r="D359">
        <f ca="1">IF(Resultat!$H30="","",SUMPRODUCT(($B249:INDIRECT(ADDRESS($A249+231,1+Resultat!$L$1,3,,))=D249)*($B139:INDIRECT(ADDRESS($A139+121,1+Resultat!$L$1,3,,))&gt;D139)*($B194:INDIRECT(ADDRESS($A194+176,1+Resultat!$L$1,3,,))&gt;D194)))</f>
        <v>0</v>
      </c>
      <c r="E359">
        <f ca="1">IF(Resultat!$H30="","",SUMPRODUCT(($B249:INDIRECT(ADDRESS($A249+231,1+Resultat!$L$1,3,,))=E249)*($B139:INDIRECT(ADDRESS($A139+121,1+Resultat!$L$1,3,,))&gt;E139)*($B194:INDIRECT(ADDRESS($A194+176,1+Resultat!$L$1,3,,))&gt;E194)))</f>
        <v>0</v>
      </c>
      <c r="F359">
        <f ca="1">IF(Resultat!$H30="","",SUMPRODUCT(($B249:INDIRECT(ADDRESS($A249+231,1+Resultat!$L$1,3,,))=F249)*($B139:INDIRECT(ADDRESS($A139+121,1+Resultat!$L$1,3,,))&gt;F139)*($B194:INDIRECT(ADDRESS($A194+176,1+Resultat!$L$1,3,,))&gt;F194)))</f>
        <v>0</v>
      </c>
    </row>
    <row r="360" spans="1:6" outlineLevel="1" x14ac:dyDescent="0.2">
      <c r="A360">
        <v>19</v>
      </c>
      <c r="B360">
        <f ca="1">IF(Resultat!$H31="","",SUMPRODUCT(($B250:INDIRECT(ADDRESS($A250+231,1+Resultat!$L$1,3,,))=B250)*($B140:INDIRECT(ADDRESS($A140+121,1+Resultat!$L$1,3,,))&gt;B140)*($B195:INDIRECT(ADDRESS($A195+176,1+Resultat!$L$1,3,,))&gt;B195)))</f>
        <v>0</v>
      </c>
      <c r="C360">
        <f ca="1">IF(Resultat!$H31="","",SUMPRODUCT(($B250:INDIRECT(ADDRESS($A250+231,1+Resultat!$L$1,3,,))=C250)*($B140:INDIRECT(ADDRESS($A140+121,1+Resultat!$L$1,3,,))&gt;C140)*($B195:INDIRECT(ADDRESS($A195+176,1+Resultat!$L$1,3,,))&gt;C195)))</f>
        <v>0</v>
      </c>
      <c r="D360">
        <f ca="1">IF(Resultat!$H31="","",SUMPRODUCT(($B250:INDIRECT(ADDRESS($A250+231,1+Resultat!$L$1,3,,))=D250)*($B140:INDIRECT(ADDRESS($A140+121,1+Resultat!$L$1,3,,))&gt;D140)*($B195:INDIRECT(ADDRESS($A195+176,1+Resultat!$L$1,3,,))&gt;D195)))</f>
        <v>0</v>
      </c>
      <c r="E360">
        <f ca="1">IF(Resultat!$H31="","",SUMPRODUCT(($B250:INDIRECT(ADDRESS($A250+231,1+Resultat!$L$1,3,,))=E250)*($B140:INDIRECT(ADDRESS($A140+121,1+Resultat!$L$1,3,,))&gt;E140)*($B195:INDIRECT(ADDRESS($A195+176,1+Resultat!$L$1,3,,))&gt;E195)))</f>
        <v>0</v>
      </c>
      <c r="F360">
        <f ca="1">IF(Resultat!$H31="","",SUMPRODUCT(($B250:INDIRECT(ADDRESS($A250+231,1+Resultat!$L$1,3,,))=F250)*($B140:INDIRECT(ADDRESS($A140+121,1+Resultat!$L$1,3,,))&gt;F140)*($B195:INDIRECT(ADDRESS($A195+176,1+Resultat!$L$1,3,,))&gt;F195)))</f>
        <v>0</v>
      </c>
    </row>
    <row r="361" spans="1:6" outlineLevel="1" x14ac:dyDescent="0.2">
      <c r="A361">
        <v>20</v>
      </c>
      <c r="B361">
        <f ca="1">IF(Resultat!$H32="","",SUMPRODUCT(($B251:INDIRECT(ADDRESS($A251+231,1+Resultat!$L$1,3,,))=B251)*($B141:INDIRECT(ADDRESS($A141+121,1+Resultat!$L$1,3,,))&gt;B141)*($B196:INDIRECT(ADDRESS($A196+176,1+Resultat!$L$1,3,,))&gt;B196)))</f>
        <v>0</v>
      </c>
      <c r="C361">
        <f ca="1">IF(Resultat!$H32="","",SUMPRODUCT(($B251:INDIRECT(ADDRESS($A251+231,1+Resultat!$L$1,3,,))=C251)*($B141:INDIRECT(ADDRESS($A141+121,1+Resultat!$L$1,3,,))&gt;C141)*($B196:INDIRECT(ADDRESS($A196+176,1+Resultat!$L$1,3,,))&gt;C196)))</f>
        <v>0</v>
      </c>
      <c r="D361">
        <f ca="1">IF(Resultat!$H32="","",SUMPRODUCT(($B251:INDIRECT(ADDRESS($A251+231,1+Resultat!$L$1,3,,))=D251)*($B141:INDIRECT(ADDRESS($A141+121,1+Resultat!$L$1,3,,))&gt;D141)*($B196:INDIRECT(ADDRESS($A196+176,1+Resultat!$L$1,3,,))&gt;D196)))</f>
        <v>0</v>
      </c>
      <c r="E361">
        <f ca="1">IF(Resultat!$H32="","",SUMPRODUCT(($B251:INDIRECT(ADDRESS($A251+231,1+Resultat!$L$1,3,,))=E251)*($B141:INDIRECT(ADDRESS($A141+121,1+Resultat!$L$1,3,,))&gt;E141)*($B196:INDIRECT(ADDRESS($A196+176,1+Resultat!$L$1,3,,))&gt;E196)))</f>
        <v>0</v>
      </c>
      <c r="F361">
        <f ca="1">IF(Resultat!$H32="","",SUMPRODUCT(($B251:INDIRECT(ADDRESS($A251+231,1+Resultat!$L$1,3,,))=F251)*($B141:INDIRECT(ADDRESS($A141+121,1+Resultat!$L$1,3,,))&gt;F141)*($B196:INDIRECT(ADDRESS($A196+176,1+Resultat!$L$1,3,,))&gt;F196)))</f>
        <v>0</v>
      </c>
    </row>
    <row r="362" spans="1:6" outlineLevel="1" x14ac:dyDescent="0.2">
      <c r="A362">
        <v>21</v>
      </c>
      <c r="B362">
        <f ca="1">IF(Resultat!$H33="","",SUMPRODUCT(($B252:INDIRECT(ADDRESS($A252+231,1+Resultat!$L$1,3,,))=B252)*($B142:INDIRECT(ADDRESS($A142+121,1+Resultat!$L$1,3,,))&gt;B142)*($B197:INDIRECT(ADDRESS($A197+176,1+Resultat!$L$1,3,,))&gt;B197)))</f>
        <v>0</v>
      </c>
      <c r="C362">
        <f ca="1">IF(Resultat!$H33="","",SUMPRODUCT(($B252:INDIRECT(ADDRESS($A252+231,1+Resultat!$L$1,3,,))=C252)*($B142:INDIRECT(ADDRESS($A142+121,1+Resultat!$L$1,3,,))&gt;C142)*($B197:INDIRECT(ADDRESS($A197+176,1+Resultat!$L$1,3,,))&gt;C197)))</f>
        <v>0</v>
      </c>
      <c r="D362">
        <f ca="1">IF(Resultat!$H33="","",SUMPRODUCT(($B252:INDIRECT(ADDRESS($A252+231,1+Resultat!$L$1,3,,))=D252)*($B142:INDIRECT(ADDRESS($A142+121,1+Resultat!$L$1,3,,))&gt;D142)*($B197:INDIRECT(ADDRESS($A197+176,1+Resultat!$L$1,3,,))&gt;D197)))</f>
        <v>0</v>
      </c>
      <c r="E362">
        <f ca="1">IF(Resultat!$H33="","",SUMPRODUCT(($B252:INDIRECT(ADDRESS($A252+231,1+Resultat!$L$1,3,,))=E252)*($B142:INDIRECT(ADDRESS($A142+121,1+Resultat!$L$1,3,,))&gt;E142)*($B197:INDIRECT(ADDRESS($A197+176,1+Resultat!$L$1,3,,))&gt;E197)))</f>
        <v>0</v>
      </c>
      <c r="F362">
        <f ca="1">IF(Resultat!$H33="","",SUMPRODUCT(($B252:INDIRECT(ADDRESS($A252+231,1+Resultat!$L$1,3,,))=F252)*($B142:INDIRECT(ADDRESS($A142+121,1+Resultat!$L$1,3,,))&gt;F142)*($B197:INDIRECT(ADDRESS($A197+176,1+Resultat!$L$1,3,,))&gt;F197)))</f>
        <v>0</v>
      </c>
    </row>
    <row r="363" spans="1:6" outlineLevel="1" x14ac:dyDescent="0.2">
      <c r="A363">
        <v>22</v>
      </c>
      <c r="B363">
        <f ca="1">IF(Resultat!$H34="","",SUMPRODUCT(($B253:INDIRECT(ADDRESS($A253+231,1+Resultat!$L$1,3,,))=B253)*($B143:INDIRECT(ADDRESS($A143+121,1+Resultat!$L$1,3,,))&gt;B143)*($B198:INDIRECT(ADDRESS($A198+176,1+Resultat!$L$1,3,,))&gt;B198)))</f>
        <v>0</v>
      </c>
      <c r="C363">
        <f ca="1">IF(Resultat!$H34="","",SUMPRODUCT(($B253:INDIRECT(ADDRESS($A253+231,1+Resultat!$L$1,3,,))=C253)*($B143:INDIRECT(ADDRESS($A143+121,1+Resultat!$L$1,3,,))&gt;C143)*($B198:INDIRECT(ADDRESS($A198+176,1+Resultat!$L$1,3,,))&gt;C198)))</f>
        <v>0</v>
      </c>
      <c r="D363">
        <f ca="1">IF(Resultat!$H34="","",SUMPRODUCT(($B253:INDIRECT(ADDRESS($A253+231,1+Resultat!$L$1,3,,))=D253)*($B143:INDIRECT(ADDRESS($A143+121,1+Resultat!$L$1,3,,))&gt;D143)*($B198:INDIRECT(ADDRESS($A198+176,1+Resultat!$L$1,3,,))&gt;D198)))</f>
        <v>0</v>
      </c>
      <c r="E363">
        <f ca="1">IF(Resultat!$H34="","",SUMPRODUCT(($B253:INDIRECT(ADDRESS($A253+231,1+Resultat!$L$1,3,,))=E253)*($B143:INDIRECT(ADDRESS($A143+121,1+Resultat!$L$1,3,,))&gt;E143)*($B198:INDIRECT(ADDRESS($A198+176,1+Resultat!$L$1,3,,))&gt;E198)))</f>
        <v>0</v>
      </c>
      <c r="F363">
        <f ca="1">IF(Resultat!$H34="","",SUMPRODUCT(($B253:INDIRECT(ADDRESS($A253+231,1+Resultat!$L$1,3,,))=F253)*($B143:INDIRECT(ADDRESS($A143+121,1+Resultat!$L$1,3,,))&gt;F143)*($B198:INDIRECT(ADDRESS($A198+176,1+Resultat!$L$1,3,,))&gt;F198)))</f>
        <v>0</v>
      </c>
    </row>
    <row r="364" spans="1:6" outlineLevel="1" x14ac:dyDescent="0.2">
      <c r="A364">
        <v>23</v>
      </c>
      <c r="B364">
        <f ca="1">IF(Resultat!$H35="","",SUMPRODUCT(($B254:INDIRECT(ADDRESS($A254+231,1+Resultat!$L$1,3,,))=B254)*($B144:INDIRECT(ADDRESS($A144+121,1+Resultat!$L$1,3,,))&gt;B144)*($B199:INDIRECT(ADDRESS($A199+176,1+Resultat!$L$1,3,,))&gt;B199)))</f>
        <v>0</v>
      </c>
      <c r="C364">
        <f ca="1">IF(Resultat!$H35="","",SUMPRODUCT(($B254:INDIRECT(ADDRESS($A254+231,1+Resultat!$L$1,3,,))=C254)*($B144:INDIRECT(ADDRESS($A144+121,1+Resultat!$L$1,3,,))&gt;C144)*($B199:INDIRECT(ADDRESS($A199+176,1+Resultat!$L$1,3,,))&gt;C199)))</f>
        <v>0</v>
      </c>
      <c r="D364">
        <f ca="1">IF(Resultat!$H35="","",SUMPRODUCT(($B254:INDIRECT(ADDRESS($A254+231,1+Resultat!$L$1,3,,))=D254)*($B144:INDIRECT(ADDRESS($A144+121,1+Resultat!$L$1,3,,))&gt;D144)*($B199:INDIRECT(ADDRESS($A199+176,1+Resultat!$L$1,3,,))&gt;D199)))</f>
        <v>0</v>
      </c>
      <c r="E364">
        <f ca="1">IF(Resultat!$H35="","",SUMPRODUCT(($B254:INDIRECT(ADDRESS($A254+231,1+Resultat!$L$1,3,,))=E254)*($B144:INDIRECT(ADDRESS($A144+121,1+Resultat!$L$1,3,,))&gt;E144)*($B199:INDIRECT(ADDRESS($A199+176,1+Resultat!$L$1,3,,))&gt;E199)))</f>
        <v>0</v>
      </c>
      <c r="F364">
        <f ca="1">IF(Resultat!$H35="","",SUMPRODUCT(($B254:INDIRECT(ADDRESS($A254+231,1+Resultat!$L$1,3,,))=F254)*($B144:INDIRECT(ADDRESS($A144+121,1+Resultat!$L$1,3,,))&gt;F144)*($B199:INDIRECT(ADDRESS($A199+176,1+Resultat!$L$1,3,,))&gt;F199)))</f>
        <v>0</v>
      </c>
    </row>
    <row r="365" spans="1:6" outlineLevel="1" x14ac:dyDescent="0.2">
      <c r="A365">
        <v>24</v>
      </c>
      <c r="B365">
        <f ca="1">IF(Resultat!$H36="","",SUMPRODUCT(($B255:INDIRECT(ADDRESS($A255+231,1+Resultat!$L$1,3,,))=B255)*($B145:INDIRECT(ADDRESS($A145+121,1+Resultat!$L$1,3,,))&gt;B145)*($B200:INDIRECT(ADDRESS($A200+176,1+Resultat!$L$1,3,,))&gt;B200)))</f>
        <v>0</v>
      </c>
      <c r="C365">
        <f ca="1">IF(Resultat!$H36="","",SUMPRODUCT(($B255:INDIRECT(ADDRESS($A255+231,1+Resultat!$L$1,3,,))=C255)*($B145:INDIRECT(ADDRESS($A145+121,1+Resultat!$L$1,3,,))&gt;C145)*($B200:INDIRECT(ADDRESS($A200+176,1+Resultat!$L$1,3,,))&gt;C200)))</f>
        <v>0</v>
      </c>
      <c r="D365">
        <f ca="1">IF(Resultat!$H36="","",SUMPRODUCT(($B255:INDIRECT(ADDRESS($A255+231,1+Resultat!$L$1,3,,))=D255)*($B145:INDIRECT(ADDRESS($A145+121,1+Resultat!$L$1,3,,))&gt;D145)*($B200:INDIRECT(ADDRESS($A200+176,1+Resultat!$L$1,3,,))&gt;D200)))</f>
        <v>0</v>
      </c>
      <c r="E365">
        <f ca="1">IF(Resultat!$H36="","",SUMPRODUCT(($B255:INDIRECT(ADDRESS($A255+231,1+Resultat!$L$1,3,,))=E255)*($B145:INDIRECT(ADDRESS($A145+121,1+Resultat!$L$1,3,,))&gt;E145)*($B200:INDIRECT(ADDRESS($A200+176,1+Resultat!$L$1,3,,))&gt;E200)))</f>
        <v>0</v>
      </c>
      <c r="F365">
        <f ca="1">IF(Resultat!$H36="","",SUMPRODUCT(($B255:INDIRECT(ADDRESS($A255+231,1+Resultat!$L$1,3,,))=F255)*($B145:INDIRECT(ADDRESS($A145+121,1+Resultat!$L$1,3,,))&gt;F145)*($B200:INDIRECT(ADDRESS($A200+176,1+Resultat!$L$1,3,,))&gt;F200)))</f>
        <v>0</v>
      </c>
    </row>
    <row r="366" spans="1:6" outlineLevel="1" x14ac:dyDescent="0.2">
      <c r="A366">
        <v>25</v>
      </c>
      <c r="B366">
        <f ca="1">IF(Resultat!$H37="","",SUMPRODUCT(($B256:INDIRECT(ADDRESS($A256+231,1+Resultat!$L$1,3,,))=B256)*($B146:INDIRECT(ADDRESS($A146+121,1+Resultat!$L$1,3,,))&gt;B146)*($B201:INDIRECT(ADDRESS($A201+176,1+Resultat!$L$1,3,,))&gt;B201)))</f>
        <v>0</v>
      </c>
      <c r="C366">
        <f ca="1">IF(Resultat!$H37="","",SUMPRODUCT(($B256:INDIRECT(ADDRESS($A256+231,1+Resultat!$L$1,3,,))=C256)*($B146:INDIRECT(ADDRESS($A146+121,1+Resultat!$L$1,3,,))&gt;C146)*($B201:INDIRECT(ADDRESS($A201+176,1+Resultat!$L$1,3,,))&gt;C201)))</f>
        <v>0</v>
      </c>
      <c r="D366">
        <f ca="1">IF(Resultat!$H37="","",SUMPRODUCT(($B256:INDIRECT(ADDRESS($A256+231,1+Resultat!$L$1,3,,))=D256)*($B146:INDIRECT(ADDRESS($A146+121,1+Resultat!$L$1,3,,))&gt;D146)*($B201:INDIRECT(ADDRESS($A201+176,1+Resultat!$L$1,3,,))&gt;D201)))</f>
        <v>0</v>
      </c>
      <c r="E366">
        <f ca="1">IF(Resultat!$H37="","",SUMPRODUCT(($B256:INDIRECT(ADDRESS($A256+231,1+Resultat!$L$1,3,,))=E256)*($B146:INDIRECT(ADDRESS($A146+121,1+Resultat!$L$1,3,,))&gt;E146)*($B201:INDIRECT(ADDRESS($A201+176,1+Resultat!$L$1,3,,))&gt;E201)))</f>
        <v>0</v>
      </c>
      <c r="F366">
        <f ca="1">IF(Resultat!$H37="","",SUMPRODUCT(($B256:INDIRECT(ADDRESS($A256+231,1+Resultat!$L$1,3,,))=F256)*($B146:INDIRECT(ADDRESS($A146+121,1+Resultat!$L$1,3,,))&gt;F146)*($B201:INDIRECT(ADDRESS($A201+176,1+Resultat!$L$1,3,,))&gt;F201)))</f>
        <v>0</v>
      </c>
    </row>
    <row r="367" spans="1:6" outlineLevel="1" x14ac:dyDescent="0.2">
      <c r="A367">
        <v>26</v>
      </c>
      <c r="B367">
        <f ca="1">IF(Resultat!$H38="","",SUMPRODUCT(($B257:INDIRECT(ADDRESS($A257+231,1+Resultat!$L$1,3,,))=B257)*($B147:INDIRECT(ADDRESS($A147+121,1+Resultat!$L$1,3,,))&gt;B147)*($B202:INDIRECT(ADDRESS($A202+176,1+Resultat!$L$1,3,,))&gt;B202)))</f>
        <v>0</v>
      </c>
      <c r="C367">
        <f ca="1">IF(Resultat!$H38="","",SUMPRODUCT(($B257:INDIRECT(ADDRESS($A257+231,1+Resultat!$L$1,3,,))=C257)*($B147:INDIRECT(ADDRESS($A147+121,1+Resultat!$L$1,3,,))&gt;C147)*($B202:INDIRECT(ADDRESS($A202+176,1+Resultat!$L$1,3,,))&gt;C202)))</f>
        <v>0</v>
      </c>
      <c r="D367">
        <f ca="1">IF(Resultat!$H38="","",SUMPRODUCT(($B257:INDIRECT(ADDRESS($A257+231,1+Resultat!$L$1,3,,))=D257)*($B147:INDIRECT(ADDRESS($A147+121,1+Resultat!$L$1,3,,))&gt;D147)*($B202:INDIRECT(ADDRESS($A202+176,1+Resultat!$L$1,3,,))&gt;D202)))</f>
        <v>0</v>
      </c>
      <c r="E367">
        <f ca="1">IF(Resultat!$H38="","",SUMPRODUCT(($B257:INDIRECT(ADDRESS($A257+231,1+Resultat!$L$1,3,,))=E257)*($B147:INDIRECT(ADDRESS($A147+121,1+Resultat!$L$1,3,,))&gt;E147)*($B202:INDIRECT(ADDRESS($A202+176,1+Resultat!$L$1,3,,))&gt;E202)))</f>
        <v>0</v>
      </c>
      <c r="F367">
        <f ca="1">IF(Resultat!$H38="","",SUMPRODUCT(($B257:INDIRECT(ADDRESS($A257+231,1+Resultat!$L$1,3,,))=F257)*($B147:INDIRECT(ADDRESS($A147+121,1+Resultat!$L$1,3,,))&gt;F147)*($B202:INDIRECT(ADDRESS($A202+176,1+Resultat!$L$1,3,,))&gt;F202)))</f>
        <v>0</v>
      </c>
    </row>
    <row r="368" spans="1:6" outlineLevel="1" x14ac:dyDescent="0.2">
      <c r="A368">
        <v>27</v>
      </c>
      <c r="B368">
        <f ca="1">IF(Resultat!$H39="","",SUMPRODUCT(($B258:INDIRECT(ADDRESS($A258+231,1+Resultat!$L$1,3,,))=B258)*($B148:INDIRECT(ADDRESS($A148+121,1+Resultat!$L$1,3,,))&gt;B148)*($B203:INDIRECT(ADDRESS($A203+176,1+Resultat!$L$1,3,,))&gt;B203)))</f>
        <v>0</v>
      </c>
      <c r="C368">
        <f ca="1">IF(Resultat!$H39="","",SUMPRODUCT(($B258:INDIRECT(ADDRESS($A258+231,1+Resultat!$L$1,3,,))=C258)*($B148:INDIRECT(ADDRESS($A148+121,1+Resultat!$L$1,3,,))&gt;C148)*($B203:INDIRECT(ADDRESS($A203+176,1+Resultat!$L$1,3,,))&gt;C203)))</f>
        <v>0</v>
      </c>
      <c r="D368">
        <f ca="1">IF(Resultat!$H39="","",SUMPRODUCT(($B258:INDIRECT(ADDRESS($A258+231,1+Resultat!$L$1,3,,))=D258)*($B148:INDIRECT(ADDRESS($A148+121,1+Resultat!$L$1,3,,))&gt;D148)*($B203:INDIRECT(ADDRESS($A203+176,1+Resultat!$L$1,3,,))&gt;D203)))</f>
        <v>0</v>
      </c>
      <c r="E368">
        <f ca="1">IF(Resultat!$H39="","",SUMPRODUCT(($B258:INDIRECT(ADDRESS($A258+231,1+Resultat!$L$1,3,,))=E258)*($B148:INDIRECT(ADDRESS($A148+121,1+Resultat!$L$1,3,,))&gt;E148)*($B203:INDIRECT(ADDRESS($A203+176,1+Resultat!$L$1,3,,))&gt;E203)))</f>
        <v>0</v>
      </c>
      <c r="F368">
        <f ca="1">IF(Resultat!$H39="","",SUMPRODUCT(($B258:INDIRECT(ADDRESS($A258+231,1+Resultat!$L$1,3,,))=F258)*($B148:INDIRECT(ADDRESS($A148+121,1+Resultat!$L$1,3,,))&gt;F148)*($B203:INDIRECT(ADDRESS($A203+176,1+Resultat!$L$1,3,,))&gt;F203)))</f>
        <v>0</v>
      </c>
    </row>
    <row r="369" spans="1:6" outlineLevel="1" x14ac:dyDescent="0.2">
      <c r="A369">
        <v>28</v>
      </c>
      <c r="B369">
        <f ca="1">IF(Resultat!$H40="","",SUMPRODUCT(($B259:INDIRECT(ADDRESS($A259+231,1+Resultat!$L$1,3,,))=B259)*($B149:INDIRECT(ADDRESS($A149+121,1+Resultat!$L$1,3,,))&gt;B149)*($B204:INDIRECT(ADDRESS($A204+176,1+Resultat!$L$1,3,,))&gt;B204)))</f>
        <v>0</v>
      </c>
      <c r="C369">
        <f ca="1">IF(Resultat!$H40="","",SUMPRODUCT(($B259:INDIRECT(ADDRESS($A259+231,1+Resultat!$L$1,3,,))=C259)*($B149:INDIRECT(ADDRESS($A149+121,1+Resultat!$L$1,3,,))&gt;C149)*($B204:INDIRECT(ADDRESS($A204+176,1+Resultat!$L$1,3,,))&gt;C204)))</f>
        <v>0</v>
      </c>
      <c r="D369">
        <f ca="1">IF(Resultat!$H40="","",SUMPRODUCT(($B259:INDIRECT(ADDRESS($A259+231,1+Resultat!$L$1,3,,))=D259)*($B149:INDIRECT(ADDRESS($A149+121,1+Resultat!$L$1,3,,))&gt;D149)*($B204:INDIRECT(ADDRESS($A204+176,1+Resultat!$L$1,3,,))&gt;D204)))</f>
        <v>0</v>
      </c>
      <c r="E369">
        <f ca="1">IF(Resultat!$H40="","",SUMPRODUCT(($B259:INDIRECT(ADDRESS($A259+231,1+Resultat!$L$1,3,,))=E259)*($B149:INDIRECT(ADDRESS($A149+121,1+Resultat!$L$1,3,,))&gt;E149)*($B204:INDIRECT(ADDRESS($A204+176,1+Resultat!$L$1,3,,))&gt;E204)))</f>
        <v>0</v>
      </c>
      <c r="F369">
        <f ca="1">IF(Resultat!$H40="","",SUMPRODUCT(($B259:INDIRECT(ADDRESS($A259+231,1+Resultat!$L$1,3,,))=F259)*($B149:INDIRECT(ADDRESS($A149+121,1+Resultat!$L$1,3,,))&gt;F149)*($B204:INDIRECT(ADDRESS($A204+176,1+Resultat!$L$1,3,,))&gt;F204)))</f>
        <v>0</v>
      </c>
    </row>
    <row r="370" spans="1:6" outlineLevel="1" x14ac:dyDescent="0.2">
      <c r="A370">
        <v>29</v>
      </c>
      <c r="B370">
        <f ca="1">IF(Resultat!$H41="","",SUMPRODUCT(($B260:INDIRECT(ADDRESS($A260+231,1+Resultat!$L$1,3,,))=B260)*($B150:INDIRECT(ADDRESS($A150+121,1+Resultat!$L$1,3,,))&gt;B150)*($B205:INDIRECT(ADDRESS($A205+176,1+Resultat!$L$1,3,,))&gt;B205)))</f>
        <v>0</v>
      </c>
      <c r="C370">
        <f ca="1">IF(Resultat!$H41="","",SUMPRODUCT(($B260:INDIRECT(ADDRESS($A260+231,1+Resultat!$L$1,3,,))=C260)*($B150:INDIRECT(ADDRESS($A150+121,1+Resultat!$L$1,3,,))&gt;C150)*($B205:INDIRECT(ADDRESS($A205+176,1+Resultat!$L$1,3,,))&gt;C205)))</f>
        <v>0</v>
      </c>
      <c r="D370">
        <f ca="1">IF(Resultat!$H41="","",SUMPRODUCT(($B260:INDIRECT(ADDRESS($A260+231,1+Resultat!$L$1,3,,))=D260)*($B150:INDIRECT(ADDRESS($A150+121,1+Resultat!$L$1,3,,))&gt;D150)*($B205:INDIRECT(ADDRESS($A205+176,1+Resultat!$L$1,3,,))&gt;D205)))</f>
        <v>0</v>
      </c>
      <c r="E370">
        <f ca="1">IF(Resultat!$H41="","",SUMPRODUCT(($B260:INDIRECT(ADDRESS($A260+231,1+Resultat!$L$1,3,,))=E260)*($B150:INDIRECT(ADDRESS($A150+121,1+Resultat!$L$1,3,,))&gt;E150)*($B205:INDIRECT(ADDRESS($A205+176,1+Resultat!$L$1,3,,))&gt;E205)))</f>
        <v>0</v>
      </c>
      <c r="F370">
        <f ca="1">IF(Resultat!$H41="","",SUMPRODUCT(($B260:INDIRECT(ADDRESS($A260+231,1+Resultat!$L$1,3,,))=F260)*($B150:INDIRECT(ADDRESS($A150+121,1+Resultat!$L$1,3,,))&gt;F150)*($B205:INDIRECT(ADDRESS($A205+176,1+Resultat!$L$1,3,,))&gt;F205)))</f>
        <v>0</v>
      </c>
    </row>
    <row r="371" spans="1:6" outlineLevel="1" x14ac:dyDescent="0.2">
      <c r="A371">
        <v>30</v>
      </c>
      <c r="B371">
        <f ca="1">IF(Resultat!$H42="","",SUMPRODUCT(($B261:INDIRECT(ADDRESS($A261+231,1+Resultat!$L$1,3,,))=B261)*($B151:INDIRECT(ADDRESS($A151+121,1+Resultat!$L$1,3,,))&gt;B151)*($B206:INDIRECT(ADDRESS($A206+176,1+Resultat!$L$1,3,,))&gt;B206)))</f>
        <v>0</v>
      </c>
      <c r="C371">
        <f ca="1">IF(Resultat!$H42="","",SUMPRODUCT(($B261:INDIRECT(ADDRESS($A261+231,1+Resultat!$L$1,3,,))=C261)*($B151:INDIRECT(ADDRESS($A151+121,1+Resultat!$L$1,3,,))&gt;C151)*($B206:INDIRECT(ADDRESS($A206+176,1+Resultat!$L$1,3,,))&gt;C206)))</f>
        <v>0</v>
      </c>
      <c r="D371">
        <f ca="1">IF(Resultat!$H42="","",SUMPRODUCT(($B261:INDIRECT(ADDRESS($A261+231,1+Resultat!$L$1,3,,))=D261)*($B151:INDIRECT(ADDRESS($A151+121,1+Resultat!$L$1,3,,))&gt;D151)*($B206:INDIRECT(ADDRESS($A206+176,1+Resultat!$L$1,3,,))&gt;D206)))</f>
        <v>0</v>
      </c>
      <c r="E371">
        <f ca="1">IF(Resultat!$H42="","",SUMPRODUCT(($B261:INDIRECT(ADDRESS($A261+231,1+Resultat!$L$1,3,,))=E261)*($B151:INDIRECT(ADDRESS($A151+121,1+Resultat!$L$1,3,,))&gt;E151)*($B206:INDIRECT(ADDRESS($A206+176,1+Resultat!$L$1,3,,))&gt;E206)))</f>
        <v>0</v>
      </c>
      <c r="F371">
        <f ca="1">IF(Resultat!$H42="","",SUMPRODUCT(($B261:INDIRECT(ADDRESS($A261+231,1+Resultat!$L$1,3,,))=F261)*($B151:INDIRECT(ADDRESS($A151+121,1+Resultat!$L$1,3,,))&gt;F151)*($B206:INDIRECT(ADDRESS($A206+176,1+Resultat!$L$1,3,,))&gt;F206)))</f>
        <v>0</v>
      </c>
    </row>
    <row r="372" spans="1:6" outlineLevel="1" x14ac:dyDescent="0.2">
      <c r="A372">
        <v>31</v>
      </c>
      <c r="B372">
        <f ca="1">IF(Resultat!$H43="","",SUMPRODUCT(($B262:INDIRECT(ADDRESS($A262+231,1+Resultat!$L$1,3,,))=B262)*($B152:INDIRECT(ADDRESS($A152+121,1+Resultat!$L$1,3,,))&gt;B152)*($B207:INDIRECT(ADDRESS($A207+176,1+Resultat!$L$1,3,,))&gt;B207)))</f>
        <v>0</v>
      </c>
      <c r="C372">
        <f ca="1">IF(Resultat!$H43="","",SUMPRODUCT(($B262:INDIRECT(ADDRESS($A262+231,1+Resultat!$L$1,3,,))=C262)*($B152:INDIRECT(ADDRESS($A152+121,1+Resultat!$L$1,3,,))&gt;C152)*($B207:INDIRECT(ADDRESS($A207+176,1+Resultat!$L$1,3,,))&gt;C207)))</f>
        <v>0</v>
      </c>
      <c r="D372">
        <f ca="1">IF(Resultat!$H43="","",SUMPRODUCT(($B262:INDIRECT(ADDRESS($A262+231,1+Resultat!$L$1,3,,))=D262)*($B152:INDIRECT(ADDRESS($A152+121,1+Resultat!$L$1,3,,))&gt;D152)*($B207:INDIRECT(ADDRESS($A207+176,1+Resultat!$L$1,3,,))&gt;D207)))</f>
        <v>0</v>
      </c>
      <c r="E372">
        <f ca="1">IF(Resultat!$H43="","",SUMPRODUCT(($B262:INDIRECT(ADDRESS($A262+231,1+Resultat!$L$1,3,,))=E262)*($B152:INDIRECT(ADDRESS($A152+121,1+Resultat!$L$1,3,,))&gt;E152)*($B207:INDIRECT(ADDRESS($A207+176,1+Resultat!$L$1,3,,))&gt;E207)))</f>
        <v>0</v>
      </c>
      <c r="F372">
        <f ca="1">IF(Resultat!$H43="","",SUMPRODUCT(($B262:INDIRECT(ADDRESS($A262+231,1+Resultat!$L$1,3,,))=F262)*($B152:INDIRECT(ADDRESS($A152+121,1+Resultat!$L$1,3,,))&gt;F152)*($B207:INDIRECT(ADDRESS($A207+176,1+Resultat!$L$1,3,,))&gt;F207)))</f>
        <v>0</v>
      </c>
    </row>
    <row r="373" spans="1:6" outlineLevel="1" x14ac:dyDescent="0.2">
      <c r="A373">
        <v>32</v>
      </c>
      <c r="B373" t="str">
        <f ca="1">IF(Resultat!$H44="","",SUMPRODUCT(($B263:INDIRECT(ADDRESS($A263+231,1+Resultat!$L$1,3,,))=B263)*($B153:INDIRECT(ADDRESS($A153+121,1+Resultat!$L$1,3,,))&gt;B153)*($B208:INDIRECT(ADDRESS($A208+176,1+Resultat!$L$1,3,,))&gt;B208)))</f>
        <v/>
      </c>
      <c r="C373" t="str">
        <f ca="1">IF(Resultat!$H44="","",SUMPRODUCT(($B263:INDIRECT(ADDRESS($A263+231,1+Resultat!$L$1,3,,))=C263)*($B153:INDIRECT(ADDRESS($A153+121,1+Resultat!$L$1,3,,))&gt;C153)*($B208:INDIRECT(ADDRESS($A208+176,1+Resultat!$L$1,3,,))&gt;C208)))</f>
        <v/>
      </c>
      <c r="D373" t="str">
        <f ca="1">IF(Resultat!$H44="","",SUMPRODUCT(($B263:INDIRECT(ADDRESS($A263+231,1+Resultat!$L$1,3,,))=D263)*($B153:INDIRECT(ADDRESS($A153+121,1+Resultat!$L$1,3,,))&gt;D153)*($B208:INDIRECT(ADDRESS($A208+176,1+Resultat!$L$1,3,,))&gt;D208)))</f>
        <v/>
      </c>
      <c r="E373" t="str">
        <f ca="1">IF(Resultat!$H44="","",SUMPRODUCT(($B263:INDIRECT(ADDRESS($A263+231,1+Resultat!$L$1,3,,))=E263)*($B153:INDIRECT(ADDRESS($A153+121,1+Resultat!$L$1,3,,))&gt;E153)*($B208:INDIRECT(ADDRESS($A208+176,1+Resultat!$L$1,3,,))&gt;E208)))</f>
        <v/>
      </c>
      <c r="F373" t="str">
        <f ca="1">IF(Resultat!$H44="","",SUMPRODUCT(($B263:INDIRECT(ADDRESS($A263+231,1+Resultat!$L$1,3,,))=F263)*($B153:INDIRECT(ADDRESS($A153+121,1+Resultat!$L$1,3,,))&gt;F153)*($B208:INDIRECT(ADDRESS($A208+176,1+Resultat!$L$1,3,,))&gt;F208)))</f>
        <v/>
      </c>
    </row>
    <row r="374" spans="1:6" outlineLevel="1" x14ac:dyDescent="0.2">
      <c r="A374">
        <v>33</v>
      </c>
      <c r="B374" t="str">
        <f ca="1">IF(Resultat!$H45="","",SUMPRODUCT(($B264:INDIRECT(ADDRESS($A264+231,1+Resultat!$L$1,3,,))=B264)*($B154:INDIRECT(ADDRESS($A154+121,1+Resultat!$L$1,3,,))&gt;B154)*($B209:INDIRECT(ADDRESS($A209+176,1+Resultat!$L$1,3,,))&gt;B209)))</f>
        <v/>
      </c>
      <c r="C374" t="str">
        <f ca="1">IF(Resultat!$H45="","",SUMPRODUCT(($B264:INDIRECT(ADDRESS($A264+231,1+Resultat!$L$1,3,,))=C264)*($B154:INDIRECT(ADDRESS($A154+121,1+Resultat!$L$1,3,,))&gt;C154)*($B209:INDIRECT(ADDRESS($A209+176,1+Resultat!$L$1,3,,))&gt;C209)))</f>
        <v/>
      </c>
      <c r="D374" t="str">
        <f ca="1">IF(Resultat!$H45="","",SUMPRODUCT(($B264:INDIRECT(ADDRESS($A264+231,1+Resultat!$L$1,3,,))=D264)*($B154:INDIRECT(ADDRESS($A154+121,1+Resultat!$L$1,3,,))&gt;D154)*($B209:INDIRECT(ADDRESS($A209+176,1+Resultat!$L$1,3,,))&gt;D209)))</f>
        <v/>
      </c>
      <c r="E374" t="str">
        <f ca="1">IF(Resultat!$H45="","",SUMPRODUCT(($B264:INDIRECT(ADDRESS($A264+231,1+Resultat!$L$1,3,,))=E264)*($B154:INDIRECT(ADDRESS($A154+121,1+Resultat!$L$1,3,,))&gt;E154)*($B209:INDIRECT(ADDRESS($A209+176,1+Resultat!$L$1,3,,))&gt;E209)))</f>
        <v/>
      </c>
      <c r="F374" t="str">
        <f ca="1">IF(Resultat!$H45="","",SUMPRODUCT(($B264:INDIRECT(ADDRESS($A264+231,1+Resultat!$L$1,3,,))=F264)*($B154:INDIRECT(ADDRESS($A154+121,1+Resultat!$L$1,3,,))&gt;F154)*($B209:INDIRECT(ADDRESS($A209+176,1+Resultat!$L$1,3,,))&gt;F209)))</f>
        <v/>
      </c>
    </row>
    <row r="375" spans="1:6" outlineLevel="1" x14ac:dyDescent="0.2">
      <c r="A375">
        <v>34</v>
      </c>
      <c r="B375" t="str">
        <f ca="1">IF(Resultat!$H46="","",SUMPRODUCT(($B265:INDIRECT(ADDRESS($A265+231,1+Resultat!$L$1,3,,))=B265)*($B155:INDIRECT(ADDRESS($A155+121,1+Resultat!$L$1,3,,))&gt;B155)*($B210:INDIRECT(ADDRESS($A210+176,1+Resultat!$L$1,3,,))&gt;B210)))</f>
        <v/>
      </c>
      <c r="C375" t="str">
        <f ca="1">IF(Resultat!$H46="","",SUMPRODUCT(($B265:INDIRECT(ADDRESS($A265+231,1+Resultat!$L$1,3,,))=C265)*($B155:INDIRECT(ADDRESS($A155+121,1+Resultat!$L$1,3,,))&gt;C155)*($B210:INDIRECT(ADDRESS($A210+176,1+Resultat!$L$1,3,,))&gt;C210)))</f>
        <v/>
      </c>
      <c r="D375" t="str">
        <f ca="1">IF(Resultat!$H46="","",SUMPRODUCT(($B265:INDIRECT(ADDRESS($A265+231,1+Resultat!$L$1,3,,))=D265)*($B155:INDIRECT(ADDRESS($A155+121,1+Resultat!$L$1,3,,))&gt;D155)*($B210:INDIRECT(ADDRESS($A210+176,1+Resultat!$L$1,3,,))&gt;D210)))</f>
        <v/>
      </c>
      <c r="E375" t="str">
        <f ca="1">IF(Resultat!$H46="","",SUMPRODUCT(($B265:INDIRECT(ADDRESS($A265+231,1+Resultat!$L$1,3,,))=E265)*($B155:INDIRECT(ADDRESS($A155+121,1+Resultat!$L$1,3,,))&gt;E155)*($B210:INDIRECT(ADDRESS($A210+176,1+Resultat!$L$1,3,,))&gt;E210)))</f>
        <v/>
      </c>
      <c r="F375" t="str">
        <f ca="1">IF(Resultat!$H46="","",SUMPRODUCT(($B265:INDIRECT(ADDRESS($A265+231,1+Resultat!$L$1,3,,))=F265)*($B155:INDIRECT(ADDRESS($A155+121,1+Resultat!$L$1,3,,))&gt;F155)*($B210:INDIRECT(ADDRESS($A210+176,1+Resultat!$L$1,3,,))&gt;F210)))</f>
        <v/>
      </c>
    </row>
    <row r="376" spans="1:6" outlineLevel="1" x14ac:dyDescent="0.2">
      <c r="A376">
        <v>35</v>
      </c>
      <c r="B376" t="str">
        <f ca="1">IF(Resultat!$H47="","",SUMPRODUCT(($B266:INDIRECT(ADDRESS($A266+231,1+Resultat!$L$1,3,,))=B266)*($B156:INDIRECT(ADDRESS($A156+121,1+Resultat!$L$1,3,,))&gt;B156)*($B211:INDIRECT(ADDRESS($A211+176,1+Resultat!$L$1,3,,))&gt;B211)))</f>
        <v/>
      </c>
      <c r="C376" t="str">
        <f ca="1">IF(Resultat!$H47="","",SUMPRODUCT(($B266:INDIRECT(ADDRESS($A266+231,1+Resultat!$L$1,3,,))=C266)*($B156:INDIRECT(ADDRESS($A156+121,1+Resultat!$L$1,3,,))&gt;C156)*($B211:INDIRECT(ADDRESS($A211+176,1+Resultat!$L$1,3,,))&gt;C211)))</f>
        <v/>
      </c>
      <c r="D376" t="str">
        <f ca="1">IF(Resultat!$H47="","",SUMPRODUCT(($B266:INDIRECT(ADDRESS($A266+231,1+Resultat!$L$1,3,,))=D266)*($B156:INDIRECT(ADDRESS($A156+121,1+Resultat!$L$1,3,,))&gt;D156)*($B211:INDIRECT(ADDRESS($A211+176,1+Resultat!$L$1,3,,))&gt;D211)))</f>
        <v/>
      </c>
      <c r="E376" t="str">
        <f ca="1">IF(Resultat!$H47="","",SUMPRODUCT(($B266:INDIRECT(ADDRESS($A266+231,1+Resultat!$L$1,3,,))=E266)*($B156:INDIRECT(ADDRESS($A156+121,1+Resultat!$L$1,3,,))&gt;E156)*($B211:INDIRECT(ADDRESS($A211+176,1+Resultat!$L$1,3,,))&gt;E211)))</f>
        <v/>
      </c>
      <c r="F376" t="str">
        <f ca="1">IF(Resultat!$H47="","",SUMPRODUCT(($B266:INDIRECT(ADDRESS($A266+231,1+Resultat!$L$1,3,,))=F266)*($B156:INDIRECT(ADDRESS($A156+121,1+Resultat!$L$1,3,,))&gt;F156)*($B211:INDIRECT(ADDRESS($A211+176,1+Resultat!$L$1,3,,))&gt;F211)))</f>
        <v/>
      </c>
    </row>
    <row r="377" spans="1:6" outlineLevel="1" x14ac:dyDescent="0.2">
      <c r="A377">
        <v>36</v>
      </c>
      <c r="B377" t="str">
        <f ca="1">IF(Resultat!$H48="","",SUMPRODUCT(($B267:INDIRECT(ADDRESS($A267+231,1+Resultat!$L$1,3,,))=B267)*($B157:INDIRECT(ADDRESS($A157+121,1+Resultat!$L$1,3,,))&gt;B157)*($B212:INDIRECT(ADDRESS($A212+176,1+Resultat!$L$1,3,,))&gt;B212)))</f>
        <v/>
      </c>
      <c r="C377" t="str">
        <f ca="1">IF(Resultat!$H48="","",SUMPRODUCT(($B267:INDIRECT(ADDRESS($A267+231,1+Resultat!$L$1,3,,))=C267)*($B157:INDIRECT(ADDRESS($A157+121,1+Resultat!$L$1,3,,))&gt;C157)*($B212:INDIRECT(ADDRESS($A212+176,1+Resultat!$L$1,3,,))&gt;C212)))</f>
        <v/>
      </c>
      <c r="D377" t="str">
        <f ca="1">IF(Resultat!$H48="","",SUMPRODUCT(($B267:INDIRECT(ADDRESS($A267+231,1+Resultat!$L$1,3,,))=D267)*($B157:INDIRECT(ADDRESS($A157+121,1+Resultat!$L$1,3,,))&gt;D157)*($B212:INDIRECT(ADDRESS($A212+176,1+Resultat!$L$1,3,,))&gt;D212)))</f>
        <v/>
      </c>
      <c r="E377" t="str">
        <f ca="1">IF(Resultat!$H48="","",SUMPRODUCT(($B267:INDIRECT(ADDRESS($A267+231,1+Resultat!$L$1,3,,))=E267)*($B157:INDIRECT(ADDRESS($A157+121,1+Resultat!$L$1,3,,))&gt;E157)*($B212:INDIRECT(ADDRESS($A212+176,1+Resultat!$L$1,3,,))&gt;E212)))</f>
        <v/>
      </c>
      <c r="F377" t="str">
        <f ca="1">IF(Resultat!$H48="","",SUMPRODUCT(($B267:INDIRECT(ADDRESS($A267+231,1+Resultat!$L$1,3,,))=F267)*($B157:INDIRECT(ADDRESS($A157+121,1+Resultat!$L$1,3,,))&gt;F157)*($B212:INDIRECT(ADDRESS($A212+176,1+Resultat!$L$1,3,,))&gt;F212)))</f>
        <v/>
      </c>
    </row>
    <row r="378" spans="1:6" outlineLevel="1" x14ac:dyDescent="0.2">
      <c r="A378">
        <v>37</v>
      </c>
      <c r="B378" t="str">
        <f ca="1">IF(Resultat!$H49="","",SUMPRODUCT(($B268:INDIRECT(ADDRESS($A268+231,1+Resultat!$L$1,3,,))=B268)*($B158:INDIRECT(ADDRESS($A158+121,1+Resultat!$L$1,3,,))&gt;B158)*($B213:INDIRECT(ADDRESS($A213+176,1+Resultat!$L$1,3,,))&gt;B213)))</f>
        <v/>
      </c>
      <c r="C378" t="str">
        <f ca="1">IF(Resultat!$H49="","",SUMPRODUCT(($B268:INDIRECT(ADDRESS($A268+231,1+Resultat!$L$1,3,,))=C268)*($B158:INDIRECT(ADDRESS($A158+121,1+Resultat!$L$1,3,,))&gt;C158)*($B213:INDIRECT(ADDRESS($A213+176,1+Resultat!$L$1,3,,))&gt;C213)))</f>
        <v/>
      </c>
      <c r="D378" t="str">
        <f ca="1">IF(Resultat!$H49="","",SUMPRODUCT(($B268:INDIRECT(ADDRESS($A268+231,1+Resultat!$L$1,3,,))=D268)*($B158:INDIRECT(ADDRESS($A158+121,1+Resultat!$L$1,3,,))&gt;D158)*($B213:INDIRECT(ADDRESS($A213+176,1+Resultat!$L$1,3,,))&gt;D213)))</f>
        <v/>
      </c>
      <c r="E378" t="str">
        <f ca="1">IF(Resultat!$H49="","",SUMPRODUCT(($B268:INDIRECT(ADDRESS($A268+231,1+Resultat!$L$1,3,,))=E268)*($B158:INDIRECT(ADDRESS($A158+121,1+Resultat!$L$1,3,,))&gt;E158)*($B213:INDIRECT(ADDRESS($A213+176,1+Resultat!$L$1,3,,))&gt;E213)))</f>
        <v/>
      </c>
      <c r="F378" t="str">
        <f ca="1">IF(Resultat!$H49="","",SUMPRODUCT(($B268:INDIRECT(ADDRESS($A268+231,1+Resultat!$L$1,3,,))=F268)*($B158:INDIRECT(ADDRESS($A158+121,1+Resultat!$L$1,3,,))&gt;F158)*($B213:INDIRECT(ADDRESS($A213+176,1+Resultat!$L$1,3,,))&gt;F213)))</f>
        <v/>
      </c>
    </row>
    <row r="379" spans="1:6" outlineLevel="1" x14ac:dyDescent="0.2">
      <c r="A379">
        <v>38</v>
      </c>
      <c r="B379" t="str">
        <f ca="1">IF(Resultat!$H50="","",SUMPRODUCT(($B269:INDIRECT(ADDRESS($A269+231,1+Resultat!$L$1,3,,))=B269)*($B159:INDIRECT(ADDRESS($A159+121,1+Resultat!$L$1,3,,))&gt;B159)*($B214:INDIRECT(ADDRESS($A214+176,1+Resultat!$L$1,3,,))&gt;B214)))</f>
        <v/>
      </c>
      <c r="C379" t="str">
        <f ca="1">IF(Resultat!$H50="","",SUMPRODUCT(($B269:INDIRECT(ADDRESS($A269+231,1+Resultat!$L$1,3,,))=C269)*($B159:INDIRECT(ADDRESS($A159+121,1+Resultat!$L$1,3,,))&gt;C159)*($B214:INDIRECT(ADDRESS($A214+176,1+Resultat!$L$1,3,,))&gt;C214)))</f>
        <v/>
      </c>
      <c r="D379" t="str">
        <f ca="1">IF(Resultat!$H50="","",SUMPRODUCT(($B269:INDIRECT(ADDRESS($A269+231,1+Resultat!$L$1,3,,))=D269)*($B159:INDIRECT(ADDRESS($A159+121,1+Resultat!$L$1,3,,))&gt;D159)*($B214:INDIRECT(ADDRESS($A214+176,1+Resultat!$L$1,3,,))&gt;D214)))</f>
        <v/>
      </c>
      <c r="E379" t="str">
        <f ca="1">IF(Resultat!$H50="","",SUMPRODUCT(($B269:INDIRECT(ADDRESS($A269+231,1+Resultat!$L$1,3,,))=E269)*($B159:INDIRECT(ADDRESS($A159+121,1+Resultat!$L$1,3,,))&gt;E159)*($B214:INDIRECT(ADDRESS($A214+176,1+Resultat!$L$1,3,,))&gt;E214)))</f>
        <v/>
      </c>
      <c r="F379" t="str">
        <f ca="1">IF(Resultat!$H50="","",SUMPRODUCT(($B269:INDIRECT(ADDRESS($A269+231,1+Resultat!$L$1,3,,))=F269)*($B159:INDIRECT(ADDRESS($A159+121,1+Resultat!$L$1,3,,))&gt;F159)*($B214:INDIRECT(ADDRESS($A214+176,1+Resultat!$L$1,3,,))&gt;F214)))</f>
        <v/>
      </c>
    </row>
    <row r="380" spans="1:6" outlineLevel="1" x14ac:dyDescent="0.2">
      <c r="A380">
        <v>39</v>
      </c>
      <c r="B380" t="str">
        <f ca="1">IF(Resultat!$H51="","",SUMPRODUCT(($B270:INDIRECT(ADDRESS($A270+231,1+Resultat!$L$1,3,,))=B270)*($B160:INDIRECT(ADDRESS($A160+121,1+Resultat!$L$1,3,,))&gt;B160)*($B215:INDIRECT(ADDRESS($A215+176,1+Resultat!$L$1,3,,))&gt;B215)))</f>
        <v/>
      </c>
      <c r="C380" t="str">
        <f ca="1">IF(Resultat!$H51="","",SUMPRODUCT(($B270:INDIRECT(ADDRESS($A270+231,1+Resultat!$L$1,3,,))=C270)*($B160:INDIRECT(ADDRESS($A160+121,1+Resultat!$L$1,3,,))&gt;C160)*($B215:INDIRECT(ADDRESS($A215+176,1+Resultat!$L$1,3,,))&gt;C215)))</f>
        <v/>
      </c>
      <c r="D380" t="str">
        <f ca="1">IF(Resultat!$H51="","",SUMPRODUCT(($B270:INDIRECT(ADDRESS($A270+231,1+Resultat!$L$1,3,,))=D270)*($B160:INDIRECT(ADDRESS($A160+121,1+Resultat!$L$1,3,,))&gt;D160)*($B215:INDIRECT(ADDRESS($A215+176,1+Resultat!$L$1,3,,))&gt;D215)))</f>
        <v/>
      </c>
      <c r="E380" t="str">
        <f ca="1">IF(Resultat!$H51="","",SUMPRODUCT(($B270:INDIRECT(ADDRESS($A270+231,1+Resultat!$L$1,3,,))=E270)*($B160:INDIRECT(ADDRESS($A160+121,1+Resultat!$L$1,3,,))&gt;E160)*($B215:INDIRECT(ADDRESS($A215+176,1+Resultat!$L$1,3,,))&gt;E215)))</f>
        <v/>
      </c>
      <c r="F380" t="str">
        <f ca="1">IF(Resultat!$H51="","",SUMPRODUCT(($B270:INDIRECT(ADDRESS($A270+231,1+Resultat!$L$1,3,,))=F270)*($B160:INDIRECT(ADDRESS($A160+121,1+Resultat!$L$1,3,,))&gt;F160)*($B215:INDIRECT(ADDRESS($A215+176,1+Resultat!$L$1,3,,))&gt;F215)))</f>
        <v/>
      </c>
    </row>
    <row r="381" spans="1:6" outlineLevel="1" x14ac:dyDescent="0.2">
      <c r="A381">
        <v>40</v>
      </c>
      <c r="B381" t="str">
        <f ca="1">IF(Resultat!$H52="","",SUMPRODUCT(($B271:INDIRECT(ADDRESS($A271+231,1+Resultat!$L$1,3,,))=B271)*($B161:INDIRECT(ADDRESS($A161+121,1+Resultat!$L$1,3,,))&gt;B161)*($B216:INDIRECT(ADDRESS($A216+176,1+Resultat!$L$1,3,,))&gt;B216)))</f>
        <v/>
      </c>
      <c r="C381" t="str">
        <f ca="1">IF(Resultat!$H52="","",SUMPRODUCT(($B271:INDIRECT(ADDRESS($A271+231,1+Resultat!$L$1,3,,))=C271)*($B161:INDIRECT(ADDRESS($A161+121,1+Resultat!$L$1,3,,))&gt;C161)*($B216:INDIRECT(ADDRESS($A216+176,1+Resultat!$L$1,3,,))&gt;C216)))</f>
        <v/>
      </c>
      <c r="D381" t="str">
        <f ca="1">IF(Resultat!$H52="","",SUMPRODUCT(($B271:INDIRECT(ADDRESS($A271+231,1+Resultat!$L$1,3,,))=D271)*($B161:INDIRECT(ADDRESS($A161+121,1+Resultat!$L$1,3,,))&gt;D161)*($B216:INDIRECT(ADDRESS($A216+176,1+Resultat!$L$1,3,,))&gt;D216)))</f>
        <v/>
      </c>
      <c r="E381" t="str">
        <f ca="1">IF(Resultat!$H52="","",SUMPRODUCT(($B271:INDIRECT(ADDRESS($A271+231,1+Resultat!$L$1,3,,))=E271)*($B161:INDIRECT(ADDRESS($A161+121,1+Resultat!$L$1,3,,))&gt;E161)*($B216:INDIRECT(ADDRESS($A216+176,1+Resultat!$L$1,3,,))&gt;E216)))</f>
        <v/>
      </c>
      <c r="F381" t="str">
        <f ca="1">IF(Resultat!$H52="","",SUMPRODUCT(($B271:INDIRECT(ADDRESS($A271+231,1+Resultat!$L$1,3,,))=F271)*($B161:INDIRECT(ADDRESS($A161+121,1+Resultat!$L$1,3,,))&gt;F161)*($B216:INDIRECT(ADDRESS($A216+176,1+Resultat!$L$1,3,,))&gt;F216)))</f>
        <v/>
      </c>
    </row>
    <row r="382" spans="1:6" outlineLevel="1" x14ac:dyDescent="0.2">
      <c r="A382">
        <v>41</v>
      </c>
      <c r="B382" t="str">
        <f ca="1">IF(Resultat!$H53="","",SUMPRODUCT(($B272:INDIRECT(ADDRESS($A272+231,1+Resultat!$L$1,3,,))=B272)*($B162:INDIRECT(ADDRESS($A162+121,1+Resultat!$L$1,3,,))&gt;B162)*($B217:INDIRECT(ADDRESS($A217+176,1+Resultat!$L$1,3,,))&gt;B217)))</f>
        <v/>
      </c>
      <c r="C382" t="str">
        <f ca="1">IF(Resultat!$H53="","",SUMPRODUCT(($B272:INDIRECT(ADDRESS($A272+231,1+Resultat!$L$1,3,,))=C272)*($B162:INDIRECT(ADDRESS($A162+121,1+Resultat!$L$1,3,,))&gt;C162)*($B217:INDIRECT(ADDRESS($A217+176,1+Resultat!$L$1,3,,))&gt;C217)))</f>
        <v/>
      </c>
      <c r="D382" t="str">
        <f ca="1">IF(Resultat!$H53="","",SUMPRODUCT(($B272:INDIRECT(ADDRESS($A272+231,1+Resultat!$L$1,3,,))=D272)*($B162:INDIRECT(ADDRESS($A162+121,1+Resultat!$L$1,3,,))&gt;D162)*($B217:INDIRECT(ADDRESS($A217+176,1+Resultat!$L$1,3,,))&gt;D217)))</f>
        <v/>
      </c>
      <c r="E382" t="str">
        <f ca="1">IF(Resultat!$H53="","",SUMPRODUCT(($B272:INDIRECT(ADDRESS($A272+231,1+Resultat!$L$1,3,,))=E272)*($B162:INDIRECT(ADDRESS($A162+121,1+Resultat!$L$1,3,,))&gt;E162)*($B217:INDIRECT(ADDRESS($A217+176,1+Resultat!$L$1,3,,))&gt;E217)))</f>
        <v/>
      </c>
      <c r="F382" t="str">
        <f ca="1">IF(Resultat!$H53="","",SUMPRODUCT(($B272:INDIRECT(ADDRESS($A272+231,1+Resultat!$L$1,3,,))=F272)*($B162:INDIRECT(ADDRESS($A162+121,1+Resultat!$L$1,3,,))&gt;F162)*($B217:INDIRECT(ADDRESS($A217+176,1+Resultat!$L$1,3,,))&gt;F217)))</f>
        <v/>
      </c>
    </row>
    <row r="383" spans="1:6" outlineLevel="1" x14ac:dyDescent="0.2">
      <c r="A383">
        <v>42</v>
      </c>
      <c r="B383" t="str">
        <f ca="1">IF(Resultat!$H54="","",SUMPRODUCT(($B273:INDIRECT(ADDRESS($A273+231,1+Resultat!$L$1,3,,))=B273)*($B163:INDIRECT(ADDRESS($A163+121,1+Resultat!$L$1,3,,))&gt;B163)*($B218:INDIRECT(ADDRESS($A218+176,1+Resultat!$L$1,3,,))&gt;B218)))</f>
        <v/>
      </c>
      <c r="C383" t="str">
        <f ca="1">IF(Resultat!$H54="","",SUMPRODUCT(($B273:INDIRECT(ADDRESS($A273+231,1+Resultat!$L$1,3,,))=C273)*($B163:INDIRECT(ADDRESS($A163+121,1+Resultat!$L$1,3,,))&gt;C163)*($B218:INDIRECT(ADDRESS($A218+176,1+Resultat!$L$1,3,,))&gt;C218)))</f>
        <v/>
      </c>
      <c r="D383" t="str">
        <f ca="1">IF(Resultat!$H54="","",SUMPRODUCT(($B273:INDIRECT(ADDRESS($A273+231,1+Resultat!$L$1,3,,))=D273)*($B163:INDIRECT(ADDRESS($A163+121,1+Resultat!$L$1,3,,))&gt;D163)*($B218:INDIRECT(ADDRESS($A218+176,1+Resultat!$L$1,3,,))&gt;D218)))</f>
        <v/>
      </c>
      <c r="E383" t="str">
        <f ca="1">IF(Resultat!$H54="","",SUMPRODUCT(($B273:INDIRECT(ADDRESS($A273+231,1+Resultat!$L$1,3,,))=E273)*($B163:INDIRECT(ADDRESS($A163+121,1+Resultat!$L$1,3,,))&gt;E163)*($B218:INDIRECT(ADDRESS($A218+176,1+Resultat!$L$1,3,,))&gt;E218)))</f>
        <v/>
      </c>
      <c r="F383" t="str">
        <f ca="1">IF(Resultat!$H54="","",SUMPRODUCT(($B273:INDIRECT(ADDRESS($A273+231,1+Resultat!$L$1,3,,))=F273)*($B163:INDIRECT(ADDRESS($A163+121,1+Resultat!$L$1,3,,))&gt;F163)*($B218:INDIRECT(ADDRESS($A218+176,1+Resultat!$L$1,3,,))&gt;F218)))</f>
        <v/>
      </c>
    </row>
    <row r="384" spans="1:6" outlineLevel="1" x14ac:dyDescent="0.2">
      <c r="A384">
        <v>43</v>
      </c>
      <c r="B384" t="str">
        <f ca="1">IF(Resultat!$H55="","",SUMPRODUCT(($B274:INDIRECT(ADDRESS($A274+231,1+Resultat!$L$1,3,,))=B274)*($B164:INDIRECT(ADDRESS($A164+121,1+Resultat!$L$1,3,,))&gt;B164)*($B219:INDIRECT(ADDRESS($A219+176,1+Resultat!$L$1,3,,))&gt;B219)))</f>
        <v/>
      </c>
      <c r="C384" t="str">
        <f ca="1">IF(Resultat!$H55="","",SUMPRODUCT(($B274:INDIRECT(ADDRESS($A274+231,1+Resultat!$L$1,3,,))=C274)*($B164:INDIRECT(ADDRESS($A164+121,1+Resultat!$L$1,3,,))&gt;C164)*($B219:INDIRECT(ADDRESS($A219+176,1+Resultat!$L$1,3,,))&gt;C219)))</f>
        <v/>
      </c>
      <c r="D384" t="str">
        <f ca="1">IF(Resultat!$H55="","",SUMPRODUCT(($B274:INDIRECT(ADDRESS($A274+231,1+Resultat!$L$1,3,,))=D274)*($B164:INDIRECT(ADDRESS($A164+121,1+Resultat!$L$1,3,,))&gt;D164)*($B219:INDIRECT(ADDRESS($A219+176,1+Resultat!$L$1,3,,))&gt;D219)))</f>
        <v/>
      </c>
      <c r="E384" t="str">
        <f ca="1">IF(Resultat!$H55="","",SUMPRODUCT(($B274:INDIRECT(ADDRESS($A274+231,1+Resultat!$L$1,3,,))=E274)*($B164:INDIRECT(ADDRESS($A164+121,1+Resultat!$L$1,3,,))&gt;E164)*($B219:INDIRECT(ADDRESS($A219+176,1+Resultat!$L$1,3,,))&gt;E219)))</f>
        <v/>
      </c>
      <c r="F384" t="str">
        <f ca="1">IF(Resultat!$H55="","",SUMPRODUCT(($B274:INDIRECT(ADDRESS($A274+231,1+Resultat!$L$1,3,,))=F274)*($B164:INDIRECT(ADDRESS($A164+121,1+Resultat!$L$1,3,,))&gt;F164)*($B219:INDIRECT(ADDRESS($A219+176,1+Resultat!$L$1,3,,))&gt;F219)))</f>
        <v/>
      </c>
    </row>
    <row r="385" spans="1:9" outlineLevel="1" x14ac:dyDescent="0.2">
      <c r="A385">
        <v>44</v>
      </c>
      <c r="B385" t="str">
        <f ca="1">IF(Resultat!$H56="","",SUMPRODUCT(($B275:INDIRECT(ADDRESS($A275+231,1+Resultat!$L$1,3,,))=B275)*($B165:INDIRECT(ADDRESS($A165+121,1+Resultat!$L$1,3,,))&gt;B165)*($B220:INDIRECT(ADDRESS($A220+176,1+Resultat!$L$1,3,,))&gt;B220)))</f>
        <v/>
      </c>
      <c r="C385" t="str">
        <f ca="1">IF(Resultat!$H56="","",SUMPRODUCT(($B275:INDIRECT(ADDRESS($A275+231,1+Resultat!$L$1,3,,))=C275)*($B165:INDIRECT(ADDRESS($A165+121,1+Resultat!$L$1,3,,))&gt;C165)*($B220:INDIRECT(ADDRESS($A220+176,1+Resultat!$L$1,3,,))&gt;C220)))</f>
        <v/>
      </c>
      <c r="D385" t="str">
        <f ca="1">IF(Resultat!$H56="","",SUMPRODUCT(($B275:INDIRECT(ADDRESS($A275+231,1+Resultat!$L$1,3,,))=D275)*($B165:INDIRECT(ADDRESS($A165+121,1+Resultat!$L$1,3,,))&gt;D165)*($B220:INDIRECT(ADDRESS($A220+176,1+Resultat!$L$1,3,,))&gt;D220)))</f>
        <v/>
      </c>
      <c r="E385" t="str">
        <f ca="1">IF(Resultat!$H56="","",SUMPRODUCT(($B275:INDIRECT(ADDRESS($A275+231,1+Resultat!$L$1,3,,))=E275)*($B165:INDIRECT(ADDRESS($A165+121,1+Resultat!$L$1,3,,))&gt;E165)*($B220:INDIRECT(ADDRESS($A220+176,1+Resultat!$L$1,3,,))&gt;E220)))</f>
        <v/>
      </c>
      <c r="F385" t="str">
        <f ca="1">IF(Resultat!$H56="","",SUMPRODUCT(($B275:INDIRECT(ADDRESS($A275+231,1+Resultat!$L$1,3,,))=F275)*($B165:INDIRECT(ADDRESS($A165+121,1+Resultat!$L$1,3,,))&gt;F165)*($B220:INDIRECT(ADDRESS($A220+176,1+Resultat!$L$1,3,,))&gt;F220)))</f>
        <v/>
      </c>
    </row>
    <row r="386" spans="1:9" outlineLevel="1" x14ac:dyDescent="0.2">
      <c r="A386">
        <v>45</v>
      </c>
      <c r="B386" t="str">
        <f ca="1">IF(Resultat!$H57="","",SUMPRODUCT(($B276:INDIRECT(ADDRESS($A276+231,1+Resultat!$L$1,3,,))=B276)*($B166:INDIRECT(ADDRESS($A166+121,1+Resultat!$L$1,3,,))&gt;B166)*($B221:INDIRECT(ADDRESS($A221+176,1+Resultat!$L$1,3,,))&gt;B221)))</f>
        <v/>
      </c>
      <c r="C386" t="str">
        <f ca="1">IF(Resultat!$H57="","",SUMPRODUCT(($B276:INDIRECT(ADDRESS($A276+231,1+Resultat!$L$1,3,,))=C276)*($B166:INDIRECT(ADDRESS($A166+121,1+Resultat!$L$1,3,,))&gt;C166)*($B221:INDIRECT(ADDRESS($A221+176,1+Resultat!$L$1,3,,))&gt;C221)))</f>
        <v/>
      </c>
      <c r="D386" t="str">
        <f ca="1">IF(Resultat!$H57="","",SUMPRODUCT(($B276:INDIRECT(ADDRESS($A276+231,1+Resultat!$L$1,3,,))=D276)*($B166:INDIRECT(ADDRESS($A166+121,1+Resultat!$L$1,3,,))&gt;D166)*($B221:INDIRECT(ADDRESS($A221+176,1+Resultat!$L$1,3,,))&gt;D221)))</f>
        <v/>
      </c>
      <c r="E386" t="str">
        <f ca="1">IF(Resultat!$H57="","",SUMPRODUCT(($B276:INDIRECT(ADDRESS($A276+231,1+Resultat!$L$1,3,,))=E276)*($B166:INDIRECT(ADDRESS($A166+121,1+Resultat!$L$1,3,,))&gt;E166)*($B221:INDIRECT(ADDRESS($A221+176,1+Resultat!$L$1,3,,))&gt;E221)))</f>
        <v/>
      </c>
      <c r="F386" t="str">
        <f ca="1">IF(Resultat!$H57="","",SUMPRODUCT(($B276:INDIRECT(ADDRESS($A276+231,1+Resultat!$L$1,3,,))=F276)*($B166:INDIRECT(ADDRESS($A166+121,1+Resultat!$L$1,3,,))&gt;F166)*($B221:INDIRECT(ADDRESS($A221+176,1+Resultat!$L$1,3,,))&gt;F221)))</f>
        <v/>
      </c>
    </row>
    <row r="387" spans="1:9" outlineLevel="1" x14ac:dyDescent="0.2">
      <c r="A387">
        <v>46</v>
      </c>
      <c r="B387" t="str">
        <f ca="1">IF(Resultat!$H58="","",SUMPRODUCT(($B277:INDIRECT(ADDRESS($A277+231,1+Resultat!$L$1,3,,))=B277)*($B167:INDIRECT(ADDRESS($A167+121,1+Resultat!$L$1,3,,))&gt;B167)*($B222:INDIRECT(ADDRESS($A222+176,1+Resultat!$L$1,3,,))&gt;B222)))</f>
        <v/>
      </c>
      <c r="C387" t="str">
        <f ca="1">IF(Resultat!$H58="","",SUMPRODUCT(($B277:INDIRECT(ADDRESS($A277+231,1+Resultat!$L$1,3,,))=C277)*($B167:INDIRECT(ADDRESS($A167+121,1+Resultat!$L$1,3,,))&gt;C167)*($B222:INDIRECT(ADDRESS($A222+176,1+Resultat!$L$1,3,,))&gt;C222)))</f>
        <v/>
      </c>
      <c r="D387" t="str">
        <f ca="1">IF(Resultat!$H58="","",SUMPRODUCT(($B277:INDIRECT(ADDRESS($A277+231,1+Resultat!$L$1,3,,))=D277)*($B167:INDIRECT(ADDRESS($A167+121,1+Resultat!$L$1,3,,))&gt;D167)*($B222:INDIRECT(ADDRESS($A222+176,1+Resultat!$L$1,3,,))&gt;D222)))</f>
        <v/>
      </c>
      <c r="E387" t="str">
        <f ca="1">IF(Resultat!$H58="","",SUMPRODUCT(($B277:INDIRECT(ADDRESS($A277+231,1+Resultat!$L$1,3,,))=E277)*($B167:INDIRECT(ADDRESS($A167+121,1+Resultat!$L$1,3,,))&gt;E167)*($B222:INDIRECT(ADDRESS($A222+176,1+Resultat!$L$1,3,,))&gt;E222)))</f>
        <v/>
      </c>
      <c r="F387" t="str">
        <f ca="1">IF(Resultat!$H58="","",SUMPRODUCT(($B277:INDIRECT(ADDRESS($A277+231,1+Resultat!$L$1,3,,))=F277)*($B167:INDIRECT(ADDRESS($A167+121,1+Resultat!$L$1,3,,))&gt;F167)*($B222:INDIRECT(ADDRESS($A222+176,1+Resultat!$L$1,3,,))&gt;F222)))</f>
        <v/>
      </c>
    </row>
    <row r="388" spans="1:9" outlineLevel="1" x14ac:dyDescent="0.2">
      <c r="A388">
        <v>47</v>
      </c>
      <c r="B388" t="str">
        <f ca="1">IF(Resultat!$H59="","",SUMPRODUCT(($B278:INDIRECT(ADDRESS($A278+231,1+Resultat!$L$1,3,,))=B278)*($B168:INDIRECT(ADDRESS($A168+121,1+Resultat!$L$1,3,,))&gt;B168)*($B223:INDIRECT(ADDRESS($A223+176,1+Resultat!$L$1,3,,))&gt;B223)))</f>
        <v/>
      </c>
      <c r="C388" t="str">
        <f ca="1">IF(Resultat!$H59="","",SUMPRODUCT(($B278:INDIRECT(ADDRESS($A278+231,1+Resultat!$L$1,3,,))=C278)*($B168:INDIRECT(ADDRESS($A168+121,1+Resultat!$L$1,3,,))&gt;C168)*($B223:INDIRECT(ADDRESS($A223+176,1+Resultat!$L$1,3,,))&gt;C223)))</f>
        <v/>
      </c>
      <c r="D388" t="str">
        <f ca="1">IF(Resultat!$H59="","",SUMPRODUCT(($B278:INDIRECT(ADDRESS($A278+231,1+Resultat!$L$1,3,,))=D278)*($B168:INDIRECT(ADDRESS($A168+121,1+Resultat!$L$1,3,,))&gt;D168)*($B223:INDIRECT(ADDRESS($A223+176,1+Resultat!$L$1,3,,))&gt;D223)))</f>
        <v/>
      </c>
      <c r="E388" t="str">
        <f ca="1">IF(Resultat!$H59="","",SUMPRODUCT(($B278:INDIRECT(ADDRESS($A278+231,1+Resultat!$L$1,3,,))=E278)*($B168:INDIRECT(ADDRESS($A168+121,1+Resultat!$L$1,3,,))&gt;E168)*($B223:INDIRECT(ADDRESS($A223+176,1+Resultat!$L$1,3,,))&gt;E223)))</f>
        <v/>
      </c>
      <c r="F388" t="str">
        <f ca="1">IF(Resultat!$H59="","",SUMPRODUCT(($B278:INDIRECT(ADDRESS($A278+231,1+Resultat!$L$1,3,,))=F278)*($B168:INDIRECT(ADDRESS($A168+121,1+Resultat!$L$1,3,,))&gt;F168)*($B223:INDIRECT(ADDRESS($A223+176,1+Resultat!$L$1,3,,))&gt;F223)))</f>
        <v/>
      </c>
    </row>
    <row r="389" spans="1:9" outlineLevel="1" x14ac:dyDescent="0.2">
      <c r="A389">
        <v>48</v>
      </c>
      <c r="B389" t="str">
        <f ca="1">IF(Resultat!$H60="","",SUMPRODUCT(($B279:INDIRECT(ADDRESS($A279+231,1+Resultat!$L$1,3,,))=B279)*($B169:INDIRECT(ADDRESS($A169+121,1+Resultat!$L$1,3,,))&gt;B169)*($B224:INDIRECT(ADDRESS($A224+176,1+Resultat!$L$1,3,,))&gt;B224)))</f>
        <v/>
      </c>
      <c r="C389" t="str">
        <f ca="1">IF(Resultat!$H60="","",SUMPRODUCT(($B279:INDIRECT(ADDRESS($A279+231,1+Resultat!$L$1,3,,))=C279)*($B169:INDIRECT(ADDRESS($A169+121,1+Resultat!$L$1,3,,))&gt;C169)*($B224:INDIRECT(ADDRESS($A224+176,1+Resultat!$L$1,3,,))&gt;C224)))</f>
        <v/>
      </c>
      <c r="D389" t="str">
        <f ca="1">IF(Resultat!$H60="","",SUMPRODUCT(($B279:INDIRECT(ADDRESS($A279+231,1+Resultat!$L$1,3,,))=D279)*($B169:INDIRECT(ADDRESS($A169+121,1+Resultat!$L$1,3,,))&gt;D169)*($B224:INDIRECT(ADDRESS($A224+176,1+Resultat!$L$1,3,,))&gt;D224)))</f>
        <v/>
      </c>
      <c r="E389" t="str">
        <f ca="1">IF(Resultat!$H60="","",SUMPRODUCT(($B279:INDIRECT(ADDRESS($A279+231,1+Resultat!$L$1,3,,))=E279)*($B169:INDIRECT(ADDRESS($A169+121,1+Resultat!$L$1,3,,))&gt;E169)*($B224:INDIRECT(ADDRESS($A224+176,1+Resultat!$L$1,3,,))&gt;E224)))</f>
        <v/>
      </c>
      <c r="F389" t="str">
        <f ca="1">IF(Resultat!$H60="","",SUMPRODUCT(($B279:INDIRECT(ADDRESS($A279+231,1+Resultat!$L$1,3,,))=F279)*($B169:INDIRECT(ADDRESS($A169+121,1+Resultat!$L$1,3,,))&gt;F169)*($B224:INDIRECT(ADDRESS($A224+176,1+Resultat!$L$1,3,,))&gt;F224)))</f>
        <v/>
      </c>
    </row>
    <row r="390" spans="1:9" outlineLevel="1" x14ac:dyDescent="0.2">
      <c r="A390">
        <v>49</v>
      </c>
      <c r="B390" t="str">
        <f ca="1">IF(Resultat!$H61="","",SUMPRODUCT(($B280:INDIRECT(ADDRESS($A280+231,1+Resultat!$L$1,3,,))=B280)*($B170:INDIRECT(ADDRESS($A170+121,1+Resultat!$L$1,3,,))&gt;B170)*($B225:INDIRECT(ADDRESS($A225+176,1+Resultat!$L$1,3,,))&gt;B225)))</f>
        <v/>
      </c>
      <c r="C390" t="str">
        <f ca="1">IF(Resultat!$H61="","",SUMPRODUCT(($B280:INDIRECT(ADDRESS($A280+231,1+Resultat!$L$1,3,,))=C280)*($B170:INDIRECT(ADDRESS($A170+121,1+Resultat!$L$1,3,,))&gt;C170)*($B225:INDIRECT(ADDRESS($A225+176,1+Resultat!$L$1,3,,))&gt;C225)))</f>
        <v/>
      </c>
      <c r="D390" t="str">
        <f ca="1">IF(Resultat!$H61="","",SUMPRODUCT(($B280:INDIRECT(ADDRESS($A280+231,1+Resultat!$L$1,3,,))=D280)*($B170:INDIRECT(ADDRESS($A170+121,1+Resultat!$L$1,3,,))&gt;D170)*($B225:INDIRECT(ADDRESS($A225+176,1+Resultat!$L$1,3,,))&gt;D225)))</f>
        <v/>
      </c>
      <c r="E390" t="str">
        <f ca="1">IF(Resultat!$H61="","",SUMPRODUCT(($B280:INDIRECT(ADDRESS($A280+231,1+Resultat!$L$1,3,,))=E280)*($B170:INDIRECT(ADDRESS($A170+121,1+Resultat!$L$1,3,,))&gt;E170)*($B225:INDIRECT(ADDRESS($A225+176,1+Resultat!$L$1,3,,))&gt;E225)))</f>
        <v/>
      </c>
      <c r="F390" t="str">
        <f ca="1">IF(Resultat!$H61="","",SUMPRODUCT(($B280:INDIRECT(ADDRESS($A280+231,1+Resultat!$L$1,3,,))=F280)*($B170:INDIRECT(ADDRESS($A170+121,1+Resultat!$L$1,3,,))&gt;F170)*($B225:INDIRECT(ADDRESS($A225+176,1+Resultat!$L$1,3,,))&gt;F225)))</f>
        <v/>
      </c>
    </row>
    <row r="391" spans="1:9" outlineLevel="1" x14ac:dyDescent="0.2">
      <c r="A391">
        <v>50</v>
      </c>
      <c r="B391" t="str">
        <f ca="1">IF(Resultat!$H62="","",SUMPRODUCT(($B281:INDIRECT(ADDRESS($A281+231,1+Resultat!$L$1,3,,))=B281)*($B171:INDIRECT(ADDRESS($A171+121,1+Resultat!$L$1,3,,))&gt;B171)*($B226:INDIRECT(ADDRESS($A226+176,1+Resultat!$L$1,3,,))&gt;B226)))</f>
        <v/>
      </c>
      <c r="C391" t="str">
        <f ca="1">IF(Resultat!$H62="","",SUMPRODUCT(($B281:INDIRECT(ADDRESS($A281+231,1+Resultat!$L$1,3,,))=C281)*($B171:INDIRECT(ADDRESS($A171+121,1+Resultat!$L$1,3,,))&gt;C171)*($B226:INDIRECT(ADDRESS($A226+176,1+Resultat!$L$1,3,,))&gt;C226)))</f>
        <v/>
      </c>
      <c r="D391" t="str">
        <f ca="1">IF(Resultat!$H62="","",SUMPRODUCT(($B281:INDIRECT(ADDRESS($A281+231,1+Resultat!$L$1,3,,))=D281)*($B171:INDIRECT(ADDRESS($A171+121,1+Resultat!$L$1,3,,))&gt;D171)*($B226:INDIRECT(ADDRESS($A226+176,1+Resultat!$L$1,3,,))&gt;D226)))</f>
        <v/>
      </c>
      <c r="E391" t="str">
        <f ca="1">IF(Resultat!$H62="","",SUMPRODUCT(($B281:INDIRECT(ADDRESS($A281+231,1+Resultat!$L$1,3,,))=E281)*($B171:INDIRECT(ADDRESS($A171+121,1+Resultat!$L$1,3,,))&gt;E171)*($B226:INDIRECT(ADDRESS($A226+176,1+Resultat!$L$1,3,,))&gt;E226)))</f>
        <v/>
      </c>
      <c r="F391" t="str">
        <f ca="1">IF(Resultat!$H62="","",SUMPRODUCT(($B281:INDIRECT(ADDRESS($A281+231,1+Resultat!$L$1,3,,))=F281)*($B171:INDIRECT(ADDRESS($A171+121,1+Resultat!$L$1,3,,))&gt;F171)*($B226:INDIRECT(ADDRESS($A226+176,1+Resultat!$L$1,3,,))&gt;F226)))</f>
        <v/>
      </c>
    </row>
    <row r="392" spans="1:9" outlineLevel="1" x14ac:dyDescent="0.2">
      <c r="A392">
        <v>51</v>
      </c>
      <c r="B392" t="str">
        <f ca="1">IF(Resultat!$H63="","",SUMPRODUCT(($B282:INDIRECT(ADDRESS($A282+231,1+Resultat!$L$1,3,,))=B282)*($B172:INDIRECT(ADDRESS($A172+121,1+Resultat!$L$1,3,,))&gt;B172)*($B227:INDIRECT(ADDRESS($A227+176,1+Resultat!$L$1,3,,))&gt;B227)))</f>
        <v/>
      </c>
      <c r="C392" t="str">
        <f ca="1">IF(Resultat!$H63="","",SUMPRODUCT(($B282:INDIRECT(ADDRESS($A282+231,1+Resultat!$L$1,3,,))=C282)*($B172:INDIRECT(ADDRESS($A172+121,1+Resultat!$L$1,3,,))&gt;C172)*($B227:INDIRECT(ADDRESS($A227+176,1+Resultat!$L$1,3,,))&gt;C227)))</f>
        <v/>
      </c>
      <c r="D392" t="str">
        <f ca="1">IF(Resultat!$H63="","",SUMPRODUCT(($B282:INDIRECT(ADDRESS($A282+231,1+Resultat!$L$1,3,,))=D282)*($B172:INDIRECT(ADDRESS($A172+121,1+Resultat!$L$1,3,,))&gt;D172)*($B227:INDIRECT(ADDRESS($A227+176,1+Resultat!$L$1,3,,))&gt;D227)))</f>
        <v/>
      </c>
      <c r="E392" t="str">
        <f ca="1">IF(Resultat!$H63="","",SUMPRODUCT(($B282:INDIRECT(ADDRESS($A282+231,1+Resultat!$L$1,3,,))=E282)*($B172:INDIRECT(ADDRESS($A172+121,1+Resultat!$L$1,3,,))&gt;E172)*($B227:INDIRECT(ADDRESS($A227+176,1+Resultat!$L$1,3,,))&gt;E227)))</f>
        <v/>
      </c>
      <c r="F392" t="str">
        <f ca="1">IF(Resultat!$H63="","",SUMPRODUCT(($B282:INDIRECT(ADDRESS($A282+231,1+Resultat!$L$1,3,,))=F282)*($B172:INDIRECT(ADDRESS($A172+121,1+Resultat!$L$1,3,,))&gt;F172)*($B227:INDIRECT(ADDRESS($A227+176,1+Resultat!$L$1,3,,))&gt;F227)))</f>
        <v/>
      </c>
    </row>
    <row r="395" spans="1:9" x14ac:dyDescent="0.2">
      <c r="B395" s="74" t="s">
        <v>106</v>
      </c>
    </row>
    <row r="396" spans="1:9" outlineLevel="1" x14ac:dyDescent="0.2">
      <c r="A396" t="s">
        <v>102</v>
      </c>
      <c r="B396" s="73" t="str">
        <f>B$1</f>
        <v>Jocke</v>
      </c>
      <c r="C396" s="73" t="str">
        <f t="shared" ref="C396:F396" si="126">C$1</f>
        <v>Markus</v>
      </c>
      <c r="D396" s="73" t="str">
        <f t="shared" si="126"/>
        <v>Rickard</v>
      </c>
      <c r="E396" s="73" t="str">
        <f t="shared" si="126"/>
        <v>Tomas</v>
      </c>
      <c r="F396" s="73" t="str">
        <f t="shared" si="126"/>
        <v>Kalle</v>
      </c>
      <c r="G396" s="73"/>
      <c r="H396" s="73"/>
      <c r="I396" s="73"/>
    </row>
    <row r="397" spans="1:9" outlineLevel="1" x14ac:dyDescent="0.2">
      <c r="A397">
        <v>1</v>
      </c>
      <c r="B397">
        <f ca="1">IF(INDIRECT(B$1&amp;"!K"&amp;$A397+12)="","",(COUNTIF(Resultat!$K$13:$AB13,INDIRECT(B$1&amp;"!$O$17"))+COUNTIF(Resultat!$K$13:$AB13,INDIRECT(B$1&amp;"!$O$18"))+COUNTIF(Resultat!$K$13:$AB13,INDIRECT(B$1&amp;"!$O$19")))*Resultat!$AA$5)</f>
        <v>2</v>
      </c>
      <c r="C397">
        <f ca="1">IF(INDIRECT(C$1&amp;"!K"&amp;$A397+12)="","",(COUNTIF(Resultat!$K$13:$AB13,INDIRECT(C$1&amp;"!$O$17"))+COUNTIF(Resultat!$K$13:$AB13,INDIRECT(C$1&amp;"!$O$18"))+COUNTIF(Resultat!$K$13:$AB13,INDIRECT(C$1&amp;"!$O$19")))*Resultat!$AA$5)</f>
        <v>2</v>
      </c>
      <c r="D397">
        <f ca="1">IF(INDIRECT(D$1&amp;"!K"&amp;$A397+12)="","",(COUNTIF(Resultat!$K$13:$AB13,INDIRECT(D$1&amp;"!$O$17"))+COUNTIF(Resultat!$K$13:$AB13,INDIRECT(D$1&amp;"!$O$18"))+COUNTIF(Resultat!$K$13:$AB13,INDIRECT(D$1&amp;"!$O$19")))*Resultat!$AA$5)</f>
        <v>2</v>
      </c>
      <c r="E397">
        <f ca="1">IF(INDIRECT(E$1&amp;"!K"&amp;$A397+12)="","",(COUNTIF(Resultat!$K$13:$AB13,INDIRECT(E$1&amp;"!$O$17"))+COUNTIF(Resultat!$K$13:$AB13,INDIRECT(E$1&amp;"!$O$18"))+COUNTIF(Resultat!$K$13:$AB13,INDIRECT(E$1&amp;"!$O$19")))*Resultat!$AA$5)</f>
        <v>2</v>
      </c>
      <c r="F397">
        <f ca="1">IF(INDIRECT(F$1&amp;"!K"&amp;$A397+12)="","",(COUNTIF(Resultat!$K$13:$AB13,INDIRECT(F$1&amp;"!$O$17"))+COUNTIF(Resultat!$K$13:$AB13,INDIRECT(F$1&amp;"!$O$18"))+COUNTIF(Resultat!$K$13:$AB13,INDIRECT(F$1&amp;"!$O$19")))*Resultat!$AA$5)</f>
        <v>2</v>
      </c>
    </row>
    <row r="398" spans="1:9" outlineLevel="1" x14ac:dyDescent="0.2">
      <c r="A398">
        <v>2</v>
      </c>
      <c r="B398">
        <f ca="1">IF(INDIRECT(B$1&amp;"!K"&amp;$A398+12)="","",(COUNTIF(Resultat!$K$13:$AB14,INDIRECT(B$1&amp;"!$O$17"))+COUNTIF(Resultat!$K$13:$AB14,INDIRECT(B$1&amp;"!$O$18"))+COUNTIF(Resultat!$K$13:$AB14,INDIRECT(B$1&amp;"!$O$19")))*Resultat!$AA$5)</f>
        <v>6</v>
      </c>
      <c r="C398">
        <f ca="1">IF(INDIRECT(C$1&amp;"!K"&amp;$A398+12)="","",(COUNTIF(Resultat!$K$13:$AB14,INDIRECT(C$1&amp;"!$O$17"))+COUNTIF(Resultat!$K$13:$AB14,INDIRECT(C$1&amp;"!$O$18"))+COUNTIF(Resultat!$K$13:$AB14,INDIRECT(C$1&amp;"!$O$19")))*Resultat!$AA$5)</f>
        <v>4</v>
      </c>
      <c r="D398">
        <f ca="1">IF(INDIRECT(D$1&amp;"!K"&amp;$A398+12)="","",(COUNTIF(Resultat!$K$13:$AB14,INDIRECT(D$1&amp;"!$O$17"))+COUNTIF(Resultat!$K$13:$AB14,INDIRECT(D$1&amp;"!$O$18"))+COUNTIF(Resultat!$K$13:$AB14,INDIRECT(D$1&amp;"!$O$19")))*Resultat!$AA$5)</f>
        <v>4</v>
      </c>
      <c r="E398">
        <f ca="1">IF(INDIRECT(E$1&amp;"!K"&amp;$A398+12)="","",(COUNTIF(Resultat!$K$13:$AB14,INDIRECT(E$1&amp;"!$O$17"))+COUNTIF(Resultat!$K$13:$AB14,INDIRECT(E$1&amp;"!$O$18"))+COUNTIF(Resultat!$K$13:$AB14,INDIRECT(E$1&amp;"!$O$19")))*Resultat!$AA$5)</f>
        <v>6</v>
      </c>
      <c r="F398">
        <f ca="1">IF(INDIRECT(F$1&amp;"!K"&amp;$A398+12)="","",(COUNTIF(Resultat!$K$13:$AB14,INDIRECT(F$1&amp;"!$O$17"))+COUNTIF(Resultat!$K$13:$AB14,INDIRECT(F$1&amp;"!$O$18"))+COUNTIF(Resultat!$K$13:$AB14,INDIRECT(F$1&amp;"!$O$19")))*Resultat!$AA$5)</f>
        <v>6</v>
      </c>
    </row>
    <row r="399" spans="1:9" outlineLevel="1" x14ac:dyDescent="0.2">
      <c r="A399">
        <v>3</v>
      </c>
      <c r="B399">
        <f ca="1">IF(INDIRECT(B$1&amp;"!K"&amp;$A399+12)="","",(COUNTIF(Resultat!$K$13:$AB15,INDIRECT(B$1&amp;"!$O$17"))+COUNTIF(Resultat!$K$13:$AB15,INDIRECT(B$1&amp;"!$O$18"))+COUNTIF(Resultat!$K$13:$AB15,INDIRECT(B$1&amp;"!$O$19")))*Resultat!$AA$5)</f>
        <v>8</v>
      </c>
      <c r="C399">
        <f ca="1">IF(INDIRECT(C$1&amp;"!K"&amp;$A399+12)="","",(COUNTIF(Resultat!$K$13:$AB15,INDIRECT(C$1&amp;"!$O$17"))+COUNTIF(Resultat!$K$13:$AB15,INDIRECT(C$1&amp;"!$O$18"))+COUNTIF(Resultat!$K$13:$AB15,INDIRECT(C$1&amp;"!$O$19")))*Resultat!$AA$5)</f>
        <v>4</v>
      </c>
      <c r="D399">
        <f ca="1">IF(INDIRECT(D$1&amp;"!K"&amp;$A399+12)="","",(COUNTIF(Resultat!$K$13:$AB15,INDIRECT(D$1&amp;"!$O$17"))+COUNTIF(Resultat!$K$13:$AB15,INDIRECT(D$1&amp;"!$O$18"))+COUNTIF(Resultat!$K$13:$AB15,INDIRECT(D$1&amp;"!$O$19")))*Resultat!$AA$5)</f>
        <v>4</v>
      </c>
      <c r="E399">
        <f ca="1">IF(INDIRECT(E$1&amp;"!K"&amp;$A399+12)="","",(COUNTIF(Resultat!$K$13:$AB15,INDIRECT(E$1&amp;"!$O$17"))+COUNTIF(Resultat!$K$13:$AB15,INDIRECT(E$1&amp;"!$O$18"))+COUNTIF(Resultat!$K$13:$AB15,INDIRECT(E$1&amp;"!$O$19")))*Resultat!$AA$5)</f>
        <v>8</v>
      </c>
      <c r="F399">
        <f ca="1">IF(INDIRECT(F$1&amp;"!K"&amp;$A399+12)="","",(COUNTIF(Resultat!$K$13:$AB15,INDIRECT(F$1&amp;"!$O$17"))+COUNTIF(Resultat!$K$13:$AB15,INDIRECT(F$1&amp;"!$O$18"))+COUNTIF(Resultat!$K$13:$AB15,INDIRECT(F$1&amp;"!$O$19")))*Resultat!$AA$5)</f>
        <v>6</v>
      </c>
    </row>
    <row r="400" spans="1:9" outlineLevel="1" x14ac:dyDescent="0.2">
      <c r="A400">
        <v>4</v>
      </c>
      <c r="B400">
        <f ca="1">IF(INDIRECT(B$1&amp;"!K"&amp;$A400+12)="","",(COUNTIF(Resultat!$K$13:$AB16,INDIRECT(B$1&amp;"!$O$17"))+COUNTIF(Resultat!$K$13:$AB16,INDIRECT(B$1&amp;"!$O$18"))+COUNTIF(Resultat!$K$13:$AB16,INDIRECT(B$1&amp;"!$O$19")))*Resultat!$AA$5)</f>
        <v>8</v>
      </c>
      <c r="C400">
        <f ca="1">IF(INDIRECT(C$1&amp;"!K"&amp;$A400+12)="","",(COUNTIF(Resultat!$K$13:$AB16,INDIRECT(C$1&amp;"!$O$17"))+COUNTIF(Resultat!$K$13:$AB16,INDIRECT(C$1&amp;"!$O$18"))+COUNTIF(Resultat!$K$13:$AB16,INDIRECT(C$1&amp;"!$O$19")))*Resultat!$AA$5)</f>
        <v>6</v>
      </c>
      <c r="D400">
        <f ca="1">IF(INDIRECT(D$1&amp;"!K"&amp;$A400+12)="","",(COUNTIF(Resultat!$K$13:$AB16,INDIRECT(D$1&amp;"!$O$17"))+COUNTIF(Resultat!$K$13:$AB16,INDIRECT(D$1&amp;"!$O$18"))+COUNTIF(Resultat!$K$13:$AB16,INDIRECT(D$1&amp;"!$O$19")))*Resultat!$AA$5)</f>
        <v>6</v>
      </c>
      <c r="E400">
        <f ca="1">IF(INDIRECT(E$1&amp;"!K"&amp;$A400+12)="","",(COUNTIF(Resultat!$K$13:$AB16,INDIRECT(E$1&amp;"!$O$17"))+COUNTIF(Resultat!$K$13:$AB16,INDIRECT(E$1&amp;"!$O$18"))+COUNTIF(Resultat!$K$13:$AB16,INDIRECT(E$1&amp;"!$O$19")))*Resultat!$AA$5)</f>
        <v>8</v>
      </c>
      <c r="F400">
        <f ca="1">IF(INDIRECT(F$1&amp;"!K"&amp;$A400+12)="","",(COUNTIF(Resultat!$K$13:$AB16,INDIRECT(F$1&amp;"!$O$17"))+COUNTIF(Resultat!$K$13:$AB16,INDIRECT(F$1&amp;"!$O$18"))+COUNTIF(Resultat!$K$13:$AB16,INDIRECT(F$1&amp;"!$O$19")))*Resultat!$AA$5)</f>
        <v>6</v>
      </c>
    </row>
    <row r="401" spans="1:6" outlineLevel="1" x14ac:dyDescent="0.2">
      <c r="A401">
        <v>5</v>
      </c>
      <c r="B401">
        <f ca="1">IF(INDIRECT(B$1&amp;"!K"&amp;$A401+12)="","",(COUNTIF(Resultat!$K$13:$AB17,INDIRECT(B$1&amp;"!$O$17"))+COUNTIF(Resultat!$K$13:$AB17,INDIRECT(B$1&amp;"!$O$18"))+COUNTIF(Resultat!$K$13:$AB17,INDIRECT(B$1&amp;"!$O$19")))*Resultat!$AA$5)</f>
        <v>8</v>
      </c>
      <c r="C401">
        <f ca="1">IF(INDIRECT(C$1&amp;"!K"&amp;$A401+12)="","",(COUNTIF(Resultat!$K$13:$AB17,INDIRECT(C$1&amp;"!$O$17"))+COUNTIF(Resultat!$K$13:$AB17,INDIRECT(C$1&amp;"!$O$18"))+COUNTIF(Resultat!$K$13:$AB17,INDIRECT(C$1&amp;"!$O$19")))*Resultat!$AA$5)</f>
        <v>6</v>
      </c>
      <c r="D401">
        <f ca="1">IF(INDIRECT(D$1&amp;"!K"&amp;$A401+12)="","",(COUNTIF(Resultat!$K$13:$AB17,INDIRECT(D$1&amp;"!$O$17"))+COUNTIF(Resultat!$K$13:$AB17,INDIRECT(D$1&amp;"!$O$18"))+COUNTIF(Resultat!$K$13:$AB17,INDIRECT(D$1&amp;"!$O$19")))*Resultat!$AA$5)</f>
        <v>6</v>
      </c>
      <c r="E401">
        <f ca="1">IF(INDIRECT(E$1&amp;"!K"&amp;$A401+12)="","",(COUNTIF(Resultat!$K$13:$AB17,INDIRECT(E$1&amp;"!$O$17"))+COUNTIF(Resultat!$K$13:$AB17,INDIRECT(E$1&amp;"!$O$18"))+COUNTIF(Resultat!$K$13:$AB17,INDIRECT(E$1&amp;"!$O$19")))*Resultat!$AA$5)</f>
        <v>8</v>
      </c>
      <c r="F401">
        <f ca="1">IF(INDIRECT(F$1&amp;"!K"&amp;$A401+12)="","",(COUNTIF(Resultat!$K$13:$AB17,INDIRECT(F$1&amp;"!$O$17"))+COUNTIF(Resultat!$K$13:$AB17,INDIRECT(F$1&amp;"!$O$18"))+COUNTIF(Resultat!$K$13:$AB17,INDIRECT(F$1&amp;"!$O$19")))*Resultat!$AA$5)</f>
        <v>6</v>
      </c>
    </row>
    <row r="402" spans="1:6" outlineLevel="1" x14ac:dyDescent="0.2">
      <c r="A402">
        <v>6</v>
      </c>
      <c r="B402">
        <f ca="1">IF(INDIRECT(B$1&amp;"!K"&amp;$A402+12)="","",(COUNTIF(Resultat!$K$13:$AB18,INDIRECT(B$1&amp;"!$O$17"))+COUNTIF(Resultat!$K$13:$AB18,INDIRECT(B$1&amp;"!$O$18"))+COUNTIF(Resultat!$K$13:$AB18,INDIRECT(B$1&amp;"!$O$19")))*Resultat!$AA$5)</f>
        <v>8</v>
      </c>
      <c r="C402">
        <f ca="1">IF(INDIRECT(C$1&amp;"!K"&amp;$A402+12)="","",(COUNTIF(Resultat!$K$13:$AB18,INDIRECT(C$1&amp;"!$O$17"))+COUNTIF(Resultat!$K$13:$AB18,INDIRECT(C$1&amp;"!$O$18"))+COUNTIF(Resultat!$K$13:$AB18,INDIRECT(C$1&amp;"!$O$19")))*Resultat!$AA$5)</f>
        <v>6</v>
      </c>
      <c r="D402">
        <f ca="1">IF(INDIRECT(D$1&amp;"!K"&amp;$A402+12)="","",(COUNTIF(Resultat!$K$13:$AB18,INDIRECT(D$1&amp;"!$O$17"))+COUNTIF(Resultat!$K$13:$AB18,INDIRECT(D$1&amp;"!$O$18"))+COUNTIF(Resultat!$K$13:$AB18,INDIRECT(D$1&amp;"!$O$19")))*Resultat!$AA$5)</f>
        <v>6</v>
      </c>
      <c r="E402">
        <f ca="1">IF(INDIRECT(E$1&amp;"!K"&amp;$A402+12)="","",(COUNTIF(Resultat!$K$13:$AB18,INDIRECT(E$1&amp;"!$O$17"))+COUNTIF(Resultat!$K$13:$AB18,INDIRECT(E$1&amp;"!$O$18"))+COUNTIF(Resultat!$K$13:$AB18,INDIRECT(E$1&amp;"!$O$19")))*Resultat!$AA$5)</f>
        <v>8</v>
      </c>
      <c r="F402">
        <f ca="1">IF(INDIRECT(F$1&amp;"!K"&amp;$A402+12)="","",(COUNTIF(Resultat!$K$13:$AB18,INDIRECT(F$1&amp;"!$O$17"))+COUNTIF(Resultat!$K$13:$AB18,INDIRECT(F$1&amp;"!$O$18"))+COUNTIF(Resultat!$K$13:$AB18,INDIRECT(F$1&amp;"!$O$19")))*Resultat!$AA$5)</f>
        <v>6</v>
      </c>
    </row>
    <row r="403" spans="1:6" outlineLevel="1" x14ac:dyDescent="0.2">
      <c r="A403">
        <v>7</v>
      </c>
      <c r="B403">
        <f ca="1">IF(INDIRECT(B$1&amp;"!K"&amp;$A403+12)="","",(COUNTIF(Resultat!$K$13:$AB19,INDIRECT(B$1&amp;"!$O$17"))+COUNTIF(Resultat!$K$13:$AB19,INDIRECT(B$1&amp;"!$O$18"))+COUNTIF(Resultat!$K$13:$AB19,INDIRECT(B$1&amp;"!$O$19")))*Resultat!$AA$5)</f>
        <v>8</v>
      </c>
      <c r="C403">
        <f ca="1">IF(INDIRECT(C$1&amp;"!K"&amp;$A403+12)="","",(COUNTIF(Resultat!$K$13:$AB19,INDIRECT(C$1&amp;"!$O$17"))+COUNTIF(Resultat!$K$13:$AB19,INDIRECT(C$1&amp;"!$O$18"))+COUNTIF(Resultat!$K$13:$AB19,INDIRECT(C$1&amp;"!$O$19")))*Resultat!$AA$5)</f>
        <v>6</v>
      </c>
      <c r="D403">
        <f ca="1">IF(INDIRECT(D$1&amp;"!K"&amp;$A403+12)="","",(COUNTIF(Resultat!$K$13:$AB19,INDIRECT(D$1&amp;"!$O$17"))+COUNTIF(Resultat!$K$13:$AB19,INDIRECT(D$1&amp;"!$O$18"))+COUNTIF(Resultat!$K$13:$AB19,INDIRECT(D$1&amp;"!$O$19")))*Resultat!$AA$5)</f>
        <v>6</v>
      </c>
      <c r="E403">
        <f ca="1">IF(INDIRECT(E$1&amp;"!K"&amp;$A403+12)="","",(COUNTIF(Resultat!$K$13:$AB19,INDIRECT(E$1&amp;"!$O$17"))+COUNTIF(Resultat!$K$13:$AB19,INDIRECT(E$1&amp;"!$O$18"))+COUNTIF(Resultat!$K$13:$AB19,INDIRECT(E$1&amp;"!$O$19")))*Resultat!$AA$5)</f>
        <v>8</v>
      </c>
      <c r="F403">
        <f ca="1">IF(INDIRECT(F$1&amp;"!K"&amp;$A403+12)="","",(COUNTIF(Resultat!$K$13:$AB19,INDIRECT(F$1&amp;"!$O$17"))+COUNTIF(Resultat!$K$13:$AB19,INDIRECT(F$1&amp;"!$O$18"))+COUNTIF(Resultat!$K$13:$AB19,INDIRECT(F$1&amp;"!$O$19")))*Resultat!$AA$5)</f>
        <v>6</v>
      </c>
    </row>
    <row r="404" spans="1:6" outlineLevel="1" x14ac:dyDescent="0.2">
      <c r="A404">
        <v>8</v>
      </c>
      <c r="B404">
        <f ca="1">IF(INDIRECT(B$1&amp;"!K"&amp;$A404+12)="","",(COUNTIF(Resultat!$K$13:$AB20,INDIRECT(B$1&amp;"!$O$17"))+COUNTIF(Resultat!$K$13:$AB20,INDIRECT(B$1&amp;"!$O$18"))+COUNTIF(Resultat!$K$13:$AB20,INDIRECT(B$1&amp;"!$O$19")))*Resultat!$AA$5)</f>
        <v>8</v>
      </c>
      <c r="C404">
        <f ca="1">IF(INDIRECT(C$1&amp;"!K"&amp;$A404+12)="","",(COUNTIF(Resultat!$K$13:$AB20,INDIRECT(C$1&amp;"!$O$17"))+COUNTIF(Resultat!$K$13:$AB20,INDIRECT(C$1&amp;"!$O$18"))+COUNTIF(Resultat!$K$13:$AB20,INDIRECT(C$1&amp;"!$O$19")))*Resultat!$AA$5)</f>
        <v>6</v>
      </c>
      <c r="D404">
        <f ca="1">IF(INDIRECT(D$1&amp;"!K"&amp;$A404+12)="","",(COUNTIF(Resultat!$K$13:$AB20,INDIRECT(D$1&amp;"!$O$17"))+COUNTIF(Resultat!$K$13:$AB20,INDIRECT(D$1&amp;"!$O$18"))+COUNTIF(Resultat!$K$13:$AB20,INDIRECT(D$1&amp;"!$O$19")))*Resultat!$AA$5)</f>
        <v>6</v>
      </c>
      <c r="E404">
        <f ca="1">IF(INDIRECT(E$1&amp;"!K"&amp;$A404+12)="","",(COUNTIF(Resultat!$K$13:$AB20,INDIRECT(E$1&amp;"!$O$17"))+COUNTIF(Resultat!$K$13:$AB20,INDIRECT(E$1&amp;"!$O$18"))+COUNTIF(Resultat!$K$13:$AB20,INDIRECT(E$1&amp;"!$O$19")))*Resultat!$AA$5)</f>
        <v>8</v>
      </c>
      <c r="F404">
        <f ca="1">IF(INDIRECT(F$1&amp;"!K"&amp;$A404+12)="","",(COUNTIF(Resultat!$K$13:$AB20,INDIRECT(F$1&amp;"!$O$17"))+COUNTIF(Resultat!$K$13:$AB20,INDIRECT(F$1&amp;"!$O$18"))+COUNTIF(Resultat!$K$13:$AB20,INDIRECT(F$1&amp;"!$O$19")))*Resultat!$AA$5)</f>
        <v>6</v>
      </c>
    </row>
    <row r="405" spans="1:6" outlineLevel="1" x14ac:dyDescent="0.2">
      <c r="A405">
        <v>9</v>
      </c>
      <c r="B405">
        <f ca="1">IF(INDIRECT(B$1&amp;"!K"&amp;$A405+12)="","",(COUNTIF(Resultat!$K$13:$AB21,INDIRECT(B$1&amp;"!$O$17"))+COUNTIF(Resultat!$K$13:$AB21,INDIRECT(B$1&amp;"!$O$18"))+COUNTIF(Resultat!$K$13:$AB21,INDIRECT(B$1&amp;"!$O$19")))*Resultat!$AA$5)</f>
        <v>8</v>
      </c>
      <c r="C405">
        <f ca="1">IF(INDIRECT(C$1&amp;"!K"&amp;$A405+12)="","",(COUNTIF(Resultat!$K$13:$AB21,INDIRECT(C$1&amp;"!$O$17"))+COUNTIF(Resultat!$K$13:$AB21,INDIRECT(C$1&amp;"!$O$18"))+COUNTIF(Resultat!$K$13:$AB21,INDIRECT(C$1&amp;"!$O$19")))*Resultat!$AA$5)</f>
        <v>6</v>
      </c>
      <c r="D405">
        <f ca="1">IF(INDIRECT(D$1&amp;"!K"&amp;$A405+12)="","",(COUNTIF(Resultat!$K$13:$AB21,INDIRECT(D$1&amp;"!$O$17"))+COUNTIF(Resultat!$K$13:$AB21,INDIRECT(D$1&amp;"!$O$18"))+COUNTIF(Resultat!$K$13:$AB21,INDIRECT(D$1&amp;"!$O$19")))*Resultat!$AA$5)</f>
        <v>6</v>
      </c>
      <c r="E405">
        <f ca="1">IF(INDIRECT(E$1&amp;"!K"&amp;$A405+12)="","",(COUNTIF(Resultat!$K$13:$AB21,INDIRECT(E$1&amp;"!$O$17"))+COUNTIF(Resultat!$K$13:$AB21,INDIRECT(E$1&amp;"!$O$18"))+COUNTIF(Resultat!$K$13:$AB21,INDIRECT(E$1&amp;"!$O$19")))*Resultat!$AA$5)</f>
        <v>8</v>
      </c>
      <c r="F405">
        <f ca="1">IF(INDIRECT(F$1&amp;"!K"&amp;$A405+12)="","",(COUNTIF(Resultat!$K$13:$AB21,INDIRECT(F$1&amp;"!$O$17"))+COUNTIF(Resultat!$K$13:$AB21,INDIRECT(F$1&amp;"!$O$18"))+COUNTIF(Resultat!$K$13:$AB21,INDIRECT(F$1&amp;"!$O$19")))*Resultat!$AA$5)</f>
        <v>6</v>
      </c>
    </row>
    <row r="406" spans="1:6" outlineLevel="1" x14ac:dyDescent="0.2">
      <c r="A406">
        <v>10</v>
      </c>
      <c r="B406">
        <f ca="1">IF(INDIRECT(B$1&amp;"!K"&amp;$A406+12)="","",(COUNTIF(Resultat!$K$13:$AB22,INDIRECT(B$1&amp;"!$O$17"))+COUNTIF(Resultat!$K$13:$AB22,INDIRECT(B$1&amp;"!$O$18"))+COUNTIF(Resultat!$K$13:$AB22,INDIRECT(B$1&amp;"!$O$19")))*Resultat!$AA$5)</f>
        <v>8</v>
      </c>
      <c r="C406">
        <f ca="1">IF(INDIRECT(C$1&amp;"!K"&amp;$A406+12)="","",(COUNTIF(Resultat!$K$13:$AB22,INDIRECT(C$1&amp;"!$O$17"))+COUNTIF(Resultat!$K$13:$AB22,INDIRECT(C$1&amp;"!$O$18"))+COUNTIF(Resultat!$K$13:$AB22,INDIRECT(C$1&amp;"!$O$19")))*Resultat!$AA$5)</f>
        <v>6</v>
      </c>
      <c r="D406">
        <f ca="1">IF(INDIRECT(D$1&amp;"!K"&amp;$A406+12)="","",(COUNTIF(Resultat!$K$13:$AB22,INDIRECT(D$1&amp;"!$O$17"))+COUNTIF(Resultat!$K$13:$AB22,INDIRECT(D$1&amp;"!$O$18"))+COUNTIF(Resultat!$K$13:$AB22,INDIRECT(D$1&amp;"!$O$19")))*Resultat!$AA$5)</f>
        <v>6</v>
      </c>
      <c r="E406">
        <f ca="1">IF(INDIRECT(E$1&amp;"!K"&amp;$A406+12)="","",(COUNTIF(Resultat!$K$13:$AB22,INDIRECT(E$1&amp;"!$O$17"))+COUNTIF(Resultat!$K$13:$AB22,INDIRECT(E$1&amp;"!$O$18"))+COUNTIF(Resultat!$K$13:$AB22,INDIRECT(E$1&amp;"!$O$19")))*Resultat!$AA$5)</f>
        <v>8</v>
      </c>
      <c r="F406">
        <f ca="1">IF(INDIRECT(F$1&amp;"!K"&amp;$A406+12)="","",(COUNTIF(Resultat!$K$13:$AB22,INDIRECT(F$1&amp;"!$O$17"))+COUNTIF(Resultat!$K$13:$AB22,INDIRECT(F$1&amp;"!$O$18"))+COUNTIF(Resultat!$K$13:$AB22,INDIRECT(F$1&amp;"!$O$19")))*Resultat!$AA$5)</f>
        <v>6</v>
      </c>
    </row>
    <row r="407" spans="1:6" outlineLevel="1" x14ac:dyDescent="0.2">
      <c r="A407">
        <v>11</v>
      </c>
      <c r="B407">
        <f ca="1">IF(INDIRECT(B$1&amp;"!K"&amp;$A407+12)="","",(COUNTIF(Resultat!$K$13:$AB23,INDIRECT(B$1&amp;"!$O$17"))+COUNTIF(Resultat!$K$13:$AB23,INDIRECT(B$1&amp;"!$O$18"))+COUNTIF(Resultat!$K$13:$AB23,INDIRECT(B$1&amp;"!$O$19")))*Resultat!$AA$5)</f>
        <v>8</v>
      </c>
      <c r="C407">
        <f ca="1">IF(INDIRECT(C$1&amp;"!K"&amp;$A407+12)="","",(COUNTIF(Resultat!$K$13:$AB23,INDIRECT(C$1&amp;"!$O$17"))+COUNTIF(Resultat!$K$13:$AB23,INDIRECT(C$1&amp;"!$O$18"))+COUNTIF(Resultat!$K$13:$AB23,INDIRECT(C$1&amp;"!$O$19")))*Resultat!$AA$5)</f>
        <v>6</v>
      </c>
      <c r="D407">
        <f ca="1">IF(INDIRECT(D$1&amp;"!K"&amp;$A407+12)="","",(COUNTIF(Resultat!$K$13:$AB23,INDIRECT(D$1&amp;"!$O$17"))+COUNTIF(Resultat!$K$13:$AB23,INDIRECT(D$1&amp;"!$O$18"))+COUNTIF(Resultat!$K$13:$AB23,INDIRECT(D$1&amp;"!$O$19")))*Resultat!$AA$5)</f>
        <v>6</v>
      </c>
      <c r="E407">
        <f ca="1">IF(INDIRECT(E$1&amp;"!K"&amp;$A407+12)="","",(COUNTIF(Resultat!$K$13:$AB23,INDIRECT(E$1&amp;"!$O$17"))+COUNTIF(Resultat!$K$13:$AB23,INDIRECT(E$1&amp;"!$O$18"))+COUNTIF(Resultat!$K$13:$AB23,INDIRECT(E$1&amp;"!$O$19")))*Resultat!$AA$5)</f>
        <v>8</v>
      </c>
      <c r="F407">
        <f ca="1">IF(INDIRECT(F$1&amp;"!K"&amp;$A407+12)="","",(COUNTIF(Resultat!$K$13:$AB23,INDIRECT(F$1&amp;"!$O$17"))+COUNTIF(Resultat!$K$13:$AB23,INDIRECT(F$1&amp;"!$O$18"))+COUNTIF(Resultat!$K$13:$AB23,INDIRECT(F$1&amp;"!$O$19")))*Resultat!$AA$5)</f>
        <v>6</v>
      </c>
    </row>
    <row r="408" spans="1:6" outlineLevel="1" x14ac:dyDescent="0.2">
      <c r="A408">
        <v>12</v>
      </c>
      <c r="B408">
        <f ca="1">IF(INDIRECT(B$1&amp;"!K"&amp;$A408+12)="","",(COUNTIF(Resultat!$K$13:$AB24,INDIRECT(B$1&amp;"!$O$17"))+COUNTIF(Resultat!$K$13:$AB24,INDIRECT(B$1&amp;"!$O$18"))+COUNTIF(Resultat!$K$13:$AB24,INDIRECT(B$1&amp;"!$O$19")))*Resultat!$AA$5)</f>
        <v>8</v>
      </c>
      <c r="C408">
        <f ca="1">IF(INDIRECT(C$1&amp;"!K"&amp;$A408+12)="","",(COUNTIF(Resultat!$K$13:$AB24,INDIRECT(C$1&amp;"!$O$17"))+COUNTIF(Resultat!$K$13:$AB24,INDIRECT(C$1&amp;"!$O$18"))+COUNTIF(Resultat!$K$13:$AB24,INDIRECT(C$1&amp;"!$O$19")))*Resultat!$AA$5)</f>
        <v>6</v>
      </c>
      <c r="D408">
        <f ca="1">IF(INDIRECT(D$1&amp;"!K"&amp;$A408+12)="","",(COUNTIF(Resultat!$K$13:$AB24,INDIRECT(D$1&amp;"!$O$17"))+COUNTIF(Resultat!$K$13:$AB24,INDIRECT(D$1&amp;"!$O$18"))+COUNTIF(Resultat!$K$13:$AB24,INDIRECT(D$1&amp;"!$O$19")))*Resultat!$AA$5)</f>
        <v>6</v>
      </c>
      <c r="E408">
        <f ca="1">IF(INDIRECT(E$1&amp;"!K"&amp;$A408+12)="","",(COUNTIF(Resultat!$K$13:$AB24,INDIRECT(E$1&amp;"!$O$17"))+COUNTIF(Resultat!$K$13:$AB24,INDIRECT(E$1&amp;"!$O$18"))+COUNTIF(Resultat!$K$13:$AB24,INDIRECT(E$1&amp;"!$O$19")))*Resultat!$AA$5)</f>
        <v>8</v>
      </c>
      <c r="F408">
        <f ca="1">IF(INDIRECT(F$1&amp;"!K"&amp;$A408+12)="","",(COUNTIF(Resultat!$K$13:$AB24,INDIRECT(F$1&amp;"!$O$17"))+COUNTIF(Resultat!$K$13:$AB24,INDIRECT(F$1&amp;"!$O$18"))+COUNTIF(Resultat!$K$13:$AB24,INDIRECT(F$1&amp;"!$O$19")))*Resultat!$AA$5)</f>
        <v>6</v>
      </c>
    </row>
    <row r="409" spans="1:6" outlineLevel="1" x14ac:dyDescent="0.2">
      <c r="A409">
        <v>13</v>
      </c>
      <c r="B409">
        <f ca="1">IF(INDIRECT(B$1&amp;"!K"&amp;$A409+12)="","",(COUNTIF(Resultat!$K$13:$AB25,INDIRECT(B$1&amp;"!$O$17"))+COUNTIF(Resultat!$K$13:$AB25,INDIRECT(B$1&amp;"!$O$18"))+COUNTIF(Resultat!$K$13:$AB25,INDIRECT(B$1&amp;"!$O$19")))*Resultat!$AA$5)</f>
        <v>8</v>
      </c>
      <c r="C409">
        <f ca="1">IF(INDIRECT(C$1&amp;"!K"&amp;$A409+12)="","",(COUNTIF(Resultat!$K$13:$AB25,INDIRECT(C$1&amp;"!$O$17"))+COUNTIF(Resultat!$K$13:$AB25,INDIRECT(C$1&amp;"!$O$18"))+COUNTIF(Resultat!$K$13:$AB25,INDIRECT(C$1&amp;"!$O$19")))*Resultat!$AA$5)</f>
        <v>6</v>
      </c>
      <c r="D409">
        <f ca="1">IF(INDIRECT(D$1&amp;"!K"&amp;$A409+12)="","",(COUNTIF(Resultat!$K$13:$AB25,INDIRECT(D$1&amp;"!$O$17"))+COUNTIF(Resultat!$K$13:$AB25,INDIRECT(D$1&amp;"!$O$18"))+COUNTIF(Resultat!$K$13:$AB25,INDIRECT(D$1&amp;"!$O$19")))*Resultat!$AA$5)</f>
        <v>6</v>
      </c>
      <c r="E409">
        <f ca="1">IF(INDIRECT(E$1&amp;"!K"&amp;$A409+12)="","",(COUNTIF(Resultat!$K$13:$AB25,INDIRECT(E$1&amp;"!$O$17"))+COUNTIF(Resultat!$K$13:$AB25,INDIRECT(E$1&amp;"!$O$18"))+COUNTIF(Resultat!$K$13:$AB25,INDIRECT(E$1&amp;"!$O$19")))*Resultat!$AA$5)</f>
        <v>8</v>
      </c>
      <c r="F409">
        <f ca="1">IF(INDIRECT(F$1&amp;"!K"&amp;$A409+12)="","",(COUNTIF(Resultat!$K$13:$AB25,INDIRECT(F$1&amp;"!$O$17"))+COUNTIF(Resultat!$K$13:$AB25,INDIRECT(F$1&amp;"!$O$18"))+COUNTIF(Resultat!$K$13:$AB25,INDIRECT(F$1&amp;"!$O$19")))*Resultat!$AA$5)</f>
        <v>6</v>
      </c>
    </row>
    <row r="410" spans="1:6" outlineLevel="1" x14ac:dyDescent="0.2">
      <c r="A410">
        <v>14</v>
      </c>
      <c r="B410">
        <f ca="1">IF(INDIRECT(B$1&amp;"!K"&amp;$A410+12)="","",(COUNTIF(Resultat!$K$13:$AB26,INDIRECT(B$1&amp;"!$O$17"))+COUNTIF(Resultat!$K$13:$AB26,INDIRECT(B$1&amp;"!$O$18"))+COUNTIF(Resultat!$K$13:$AB26,INDIRECT(B$1&amp;"!$O$19")))*Resultat!$AA$5)</f>
        <v>8</v>
      </c>
      <c r="C410">
        <f ca="1">IF(INDIRECT(C$1&amp;"!K"&amp;$A410+12)="","",(COUNTIF(Resultat!$K$13:$AB26,INDIRECT(C$1&amp;"!$O$17"))+COUNTIF(Resultat!$K$13:$AB26,INDIRECT(C$1&amp;"!$O$18"))+COUNTIF(Resultat!$K$13:$AB26,INDIRECT(C$1&amp;"!$O$19")))*Resultat!$AA$5)</f>
        <v>6</v>
      </c>
      <c r="D410">
        <f ca="1">IF(INDIRECT(D$1&amp;"!K"&amp;$A410+12)="","",(COUNTIF(Resultat!$K$13:$AB26,INDIRECT(D$1&amp;"!$O$17"))+COUNTIF(Resultat!$K$13:$AB26,INDIRECT(D$1&amp;"!$O$18"))+COUNTIF(Resultat!$K$13:$AB26,INDIRECT(D$1&amp;"!$O$19")))*Resultat!$AA$5)</f>
        <v>6</v>
      </c>
      <c r="E410">
        <f ca="1">IF(INDIRECT(E$1&amp;"!K"&amp;$A410+12)="","",(COUNTIF(Resultat!$K$13:$AB26,INDIRECT(E$1&amp;"!$O$17"))+COUNTIF(Resultat!$K$13:$AB26,INDIRECT(E$1&amp;"!$O$18"))+COUNTIF(Resultat!$K$13:$AB26,INDIRECT(E$1&amp;"!$O$19")))*Resultat!$AA$5)</f>
        <v>8</v>
      </c>
      <c r="F410">
        <f ca="1">IF(INDIRECT(F$1&amp;"!K"&amp;$A410+12)="","",(COUNTIF(Resultat!$K$13:$AB26,INDIRECT(F$1&amp;"!$O$17"))+COUNTIF(Resultat!$K$13:$AB26,INDIRECT(F$1&amp;"!$O$18"))+COUNTIF(Resultat!$K$13:$AB26,INDIRECT(F$1&amp;"!$O$19")))*Resultat!$AA$5)</f>
        <v>6</v>
      </c>
    </row>
    <row r="411" spans="1:6" outlineLevel="1" x14ac:dyDescent="0.2">
      <c r="A411">
        <v>15</v>
      </c>
      <c r="B411">
        <f ca="1">IF(INDIRECT(B$1&amp;"!K"&amp;$A411+12)="","",(COUNTIF(Resultat!$K$13:$AB27,INDIRECT(B$1&amp;"!$O$17"))+COUNTIF(Resultat!$K$13:$AB27,INDIRECT(B$1&amp;"!$O$18"))+COUNTIF(Resultat!$K$13:$AB27,INDIRECT(B$1&amp;"!$O$19")))*Resultat!$AA$5)</f>
        <v>8</v>
      </c>
      <c r="C411">
        <f ca="1">IF(INDIRECT(C$1&amp;"!K"&amp;$A411+12)="","",(COUNTIF(Resultat!$K$13:$AB27,INDIRECT(C$1&amp;"!$O$17"))+COUNTIF(Resultat!$K$13:$AB27,INDIRECT(C$1&amp;"!$O$18"))+COUNTIF(Resultat!$K$13:$AB27,INDIRECT(C$1&amp;"!$O$19")))*Resultat!$AA$5)</f>
        <v>6</v>
      </c>
      <c r="D411">
        <f ca="1">IF(INDIRECT(D$1&amp;"!K"&amp;$A411+12)="","",(COUNTIF(Resultat!$K$13:$AB27,INDIRECT(D$1&amp;"!$O$17"))+COUNTIF(Resultat!$K$13:$AB27,INDIRECT(D$1&amp;"!$O$18"))+COUNTIF(Resultat!$K$13:$AB27,INDIRECT(D$1&amp;"!$O$19")))*Resultat!$AA$5)</f>
        <v>6</v>
      </c>
      <c r="E411">
        <f ca="1">IF(INDIRECT(E$1&amp;"!K"&amp;$A411+12)="","",(COUNTIF(Resultat!$K$13:$AB27,INDIRECT(E$1&amp;"!$O$17"))+COUNTIF(Resultat!$K$13:$AB27,INDIRECT(E$1&amp;"!$O$18"))+COUNTIF(Resultat!$K$13:$AB27,INDIRECT(E$1&amp;"!$O$19")))*Resultat!$AA$5)</f>
        <v>8</v>
      </c>
      <c r="F411">
        <f ca="1">IF(INDIRECT(F$1&amp;"!K"&amp;$A411+12)="","",(COUNTIF(Resultat!$K$13:$AB27,INDIRECT(F$1&amp;"!$O$17"))+COUNTIF(Resultat!$K$13:$AB27,INDIRECT(F$1&amp;"!$O$18"))+COUNTIF(Resultat!$K$13:$AB27,INDIRECT(F$1&amp;"!$O$19")))*Resultat!$AA$5)</f>
        <v>6</v>
      </c>
    </row>
    <row r="412" spans="1:6" outlineLevel="1" x14ac:dyDescent="0.2">
      <c r="A412">
        <v>16</v>
      </c>
      <c r="B412">
        <f ca="1">IF(INDIRECT(B$1&amp;"!K"&amp;$A412+12)="","",(COUNTIF(Resultat!$K$13:$AB28,INDIRECT(B$1&amp;"!$O$17"))+COUNTIF(Resultat!$K$13:$AB28,INDIRECT(B$1&amp;"!$O$18"))+COUNTIF(Resultat!$K$13:$AB28,INDIRECT(B$1&amp;"!$O$19")))*Resultat!$AA$5)</f>
        <v>8</v>
      </c>
      <c r="C412">
        <f ca="1">IF(INDIRECT(C$1&amp;"!K"&amp;$A412+12)="","",(COUNTIF(Resultat!$K$13:$AB28,INDIRECT(C$1&amp;"!$O$17"))+COUNTIF(Resultat!$K$13:$AB28,INDIRECT(C$1&amp;"!$O$18"))+COUNTIF(Resultat!$K$13:$AB28,INDIRECT(C$1&amp;"!$O$19")))*Resultat!$AA$5)</f>
        <v>6</v>
      </c>
      <c r="D412">
        <f ca="1">IF(INDIRECT(D$1&amp;"!K"&amp;$A412+12)="","",(COUNTIF(Resultat!$K$13:$AB28,INDIRECT(D$1&amp;"!$O$17"))+COUNTIF(Resultat!$K$13:$AB28,INDIRECT(D$1&amp;"!$O$18"))+COUNTIF(Resultat!$K$13:$AB28,INDIRECT(D$1&amp;"!$O$19")))*Resultat!$AA$5)</f>
        <v>6</v>
      </c>
      <c r="E412">
        <f ca="1">IF(INDIRECT(E$1&amp;"!K"&amp;$A412+12)="","",(COUNTIF(Resultat!$K$13:$AB28,INDIRECT(E$1&amp;"!$O$17"))+COUNTIF(Resultat!$K$13:$AB28,INDIRECT(E$1&amp;"!$O$18"))+COUNTIF(Resultat!$K$13:$AB28,INDIRECT(E$1&amp;"!$O$19")))*Resultat!$AA$5)</f>
        <v>8</v>
      </c>
      <c r="F412">
        <f ca="1">IF(INDIRECT(F$1&amp;"!K"&amp;$A412+12)="","",(COUNTIF(Resultat!$K$13:$AB28,INDIRECT(F$1&amp;"!$O$17"))+COUNTIF(Resultat!$K$13:$AB28,INDIRECT(F$1&amp;"!$O$18"))+COUNTIF(Resultat!$K$13:$AB28,INDIRECT(F$1&amp;"!$O$19")))*Resultat!$AA$5)</f>
        <v>6</v>
      </c>
    </row>
    <row r="413" spans="1:6" outlineLevel="1" x14ac:dyDescent="0.2">
      <c r="A413">
        <v>17</v>
      </c>
      <c r="B413">
        <f ca="1">IF(INDIRECT(B$1&amp;"!K"&amp;$A413+12)="","",(COUNTIF(Resultat!$K$13:$AB29,INDIRECT(B$1&amp;"!$O$17"))+COUNTIF(Resultat!$K$13:$AB29,INDIRECT(B$1&amp;"!$O$18"))+COUNTIF(Resultat!$K$13:$AB29,INDIRECT(B$1&amp;"!$O$19")))*Resultat!$AA$5)</f>
        <v>8</v>
      </c>
      <c r="C413">
        <f ca="1">IF(INDIRECT(C$1&amp;"!K"&amp;$A413+12)="","",(COUNTIF(Resultat!$K$13:$AB29,INDIRECT(C$1&amp;"!$O$17"))+COUNTIF(Resultat!$K$13:$AB29,INDIRECT(C$1&amp;"!$O$18"))+COUNTIF(Resultat!$K$13:$AB29,INDIRECT(C$1&amp;"!$O$19")))*Resultat!$AA$5)</f>
        <v>6</v>
      </c>
      <c r="D413">
        <f ca="1">IF(INDIRECT(D$1&amp;"!K"&amp;$A413+12)="","",(COUNTIF(Resultat!$K$13:$AB29,INDIRECT(D$1&amp;"!$O$17"))+COUNTIF(Resultat!$K$13:$AB29,INDIRECT(D$1&amp;"!$O$18"))+COUNTIF(Resultat!$K$13:$AB29,INDIRECT(D$1&amp;"!$O$19")))*Resultat!$AA$5)</f>
        <v>6</v>
      </c>
      <c r="E413">
        <f ca="1">IF(INDIRECT(E$1&amp;"!K"&amp;$A413+12)="","",(COUNTIF(Resultat!$K$13:$AB29,INDIRECT(E$1&amp;"!$O$17"))+COUNTIF(Resultat!$K$13:$AB29,INDIRECT(E$1&amp;"!$O$18"))+COUNTIF(Resultat!$K$13:$AB29,INDIRECT(E$1&amp;"!$O$19")))*Resultat!$AA$5)</f>
        <v>8</v>
      </c>
      <c r="F413">
        <f ca="1">IF(INDIRECT(F$1&amp;"!K"&amp;$A413+12)="","",(COUNTIF(Resultat!$K$13:$AB29,INDIRECT(F$1&amp;"!$O$17"))+COUNTIF(Resultat!$K$13:$AB29,INDIRECT(F$1&amp;"!$O$18"))+COUNTIF(Resultat!$K$13:$AB29,INDIRECT(F$1&amp;"!$O$19")))*Resultat!$AA$5)</f>
        <v>6</v>
      </c>
    </row>
    <row r="414" spans="1:6" outlineLevel="1" x14ac:dyDescent="0.2">
      <c r="A414">
        <v>18</v>
      </c>
      <c r="B414">
        <f ca="1">IF(INDIRECT(B$1&amp;"!K"&amp;$A414+12)="","",(COUNTIF(Resultat!$K$13:$AB30,INDIRECT(B$1&amp;"!$O$17"))+COUNTIF(Resultat!$K$13:$AB30,INDIRECT(B$1&amp;"!$O$18"))+COUNTIF(Resultat!$K$13:$AB30,INDIRECT(B$1&amp;"!$O$19")))*Resultat!$AA$5)</f>
        <v>8</v>
      </c>
      <c r="C414">
        <f ca="1">IF(INDIRECT(C$1&amp;"!K"&amp;$A414+12)="","",(COUNTIF(Resultat!$K$13:$AB30,INDIRECT(C$1&amp;"!$O$17"))+COUNTIF(Resultat!$K$13:$AB30,INDIRECT(C$1&amp;"!$O$18"))+COUNTIF(Resultat!$K$13:$AB30,INDIRECT(C$1&amp;"!$O$19")))*Resultat!$AA$5)</f>
        <v>6</v>
      </c>
      <c r="D414">
        <f ca="1">IF(INDIRECT(D$1&amp;"!K"&amp;$A414+12)="","",(COUNTIF(Resultat!$K$13:$AB30,INDIRECT(D$1&amp;"!$O$17"))+COUNTIF(Resultat!$K$13:$AB30,INDIRECT(D$1&amp;"!$O$18"))+COUNTIF(Resultat!$K$13:$AB30,INDIRECT(D$1&amp;"!$O$19")))*Resultat!$AA$5)</f>
        <v>6</v>
      </c>
      <c r="E414">
        <f ca="1">IF(INDIRECT(E$1&amp;"!K"&amp;$A414+12)="","",(COUNTIF(Resultat!$K$13:$AB30,INDIRECT(E$1&amp;"!$O$17"))+COUNTIF(Resultat!$K$13:$AB30,INDIRECT(E$1&amp;"!$O$18"))+COUNTIF(Resultat!$K$13:$AB30,INDIRECT(E$1&amp;"!$O$19")))*Resultat!$AA$5)</f>
        <v>8</v>
      </c>
      <c r="F414">
        <f ca="1">IF(INDIRECT(F$1&amp;"!K"&amp;$A414+12)="","",(COUNTIF(Resultat!$K$13:$AB30,INDIRECT(F$1&amp;"!$O$17"))+COUNTIF(Resultat!$K$13:$AB30,INDIRECT(F$1&amp;"!$O$18"))+COUNTIF(Resultat!$K$13:$AB30,INDIRECT(F$1&amp;"!$O$19")))*Resultat!$AA$5)</f>
        <v>6</v>
      </c>
    </row>
    <row r="415" spans="1:6" outlineLevel="1" x14ac:dyDescent="0.2">
      <c r="A415">
        <v>19</v>
      </c>
      <c r="B415">
        <f ca="1">IF(INDIRECT(B$1&amp;"!K"&amp;$A415+12)="","",(COUNTIF(Resultat!$K$13:$AB31,INDIRECT(B$1&amp;"!$O$17"))+COUNTIF(Resultat!$K$13:$AB31,INDIRECT(B$1&amp;"!$O$18"))+COUNTIF(Resultat!$K$13:$AB31,INDIRECT(B$1&amp;"!$O$19")))*Resultat!$AA$5)</f>
        <v>8</v>
      </c>
      <c r="C415">
        <f ca="1">IF(INDIRECT(C$1&amp;"!K"&amp;$A415+12)="","",(COUNTIF(Resultat!$K$13:$AB31,INDIRECT(C$1&amp;"!$O$17"))+COUNTIF(Resultat!$K$13:$AB31,INDIRECT(C$1&amp;"!$O$18"))+COUNTIF(Resultat!$K$13:$AB31,INDIRECT(C$1&amp;"!$O$19")))*Resultat!$AA$5)</f>
        <v>6</v>
      </c>
      <c r="D415">
        <f ca="1">IF(INDIRECT(D$1&amp;"!K"&amp;$A415+12)="","",(COUNTIF(Resultat!$K$13:$AB31,INDIRECT(D$1&amp;"!$O$17"))+COUNTIF(Resultat!$K$13:$AB31,INDIRECT(D$1&amp;"!$O$18"))+COUNTIF(Resultat!$K$13:$AB31,INDIRECT(D$1&amp;"!$O$19")))*Resultat!$AA$5)</f>
        <v>6</v>
      </c>
      <c r="E415">
        <f ca="1">IF(INDIRECT(E$1&amp;"!K"&amp;$A415+12)="","",(COUNTIF(Resultat!$K$13:$AB31,INDIRECT(E$1&amp;"!$O$17"))+COUNTIF(Resultat!$K$13:$AB31,INDIRECT(E$1&amp;"!$O$18"))+COUNTIF(Resultat!$K$13:$AB31,INDIRECT(E$1&amp;"!$O$19")))*Resultat!$AA$5)</f>
        <v>8</v>
      </c>
      <c r="F415">
        <f ca="1">IF(INDIRECT(F$1&amp;"!K"&amp;$A415+12)="","",(COUNTIF(Resultat!$K$13:$AB31,INDIRECT(F$1&amp;"!$O$17"))+COUNTIF(Resultat!$K$13:$AB31,INDIRECT(F$1&amp;"!$O$18"))+COUNTIF(Resultat!$K$13:$AB31,INDIRECT(F$1&amp;"!$O$19")))*Resultat!$AA$5)</f>
        <v>6</v>
      </c>
    </row>
    <row r="416" spans="1:6" outlineLevel="1" x14ac:dyDescent="0.2">
      <c r="A416">
        <v>20</v>
      </c>
      <c r="B416">
        <f ca="1">IF(INDIRECT(B$1&amp;"!K"&amp;$A416+12)="","",(COUNTIF(Resultat!$K$13:$AB32,INDIRECT(B$1&amp;"!$O$17"))+COUNTIF(Resultat!$K$13:$AB32,INDIRECT(B$1&amp;"!$O$18"))+COUNTIF(Resultat!$K$13:$AB32,INDIRECT(B$1&amp;"!$O$19")))*Resultat!$AA$5)</f>
        <v>8</v>
      </c>
      <c r="C416">
        <f ca="1">IF(INDIRECT(C$1&amp;"!K"&amp;$A416+12)="","",(COUNTIF(Resultat!$K$13:$AB32,INDIRECT(C$1&amp;"!$O$17"))+COUNTIF(Resultat!$K$13:$AB32,INDIRECT(C$1&amp;"!$O$18"))+COUNTIF(Resultat!$K$13:$AB32,INDIRECT(C$1&amp;"!$O$19")))*Resultat!$AA$5)</f>
        <v>6</v>
      </c>
      <c r="D416">
        <f ca="1">IF(INDIRECT(D$1&amp;"!K"&amp;$A416+12)="","",(COUNTIF(Resultat!$K$13:$AB32,INDIRECT(D$1&amp;"!$O$17"))+COUNTIF(Resultat!$K$13:$AB32,INDIRECT(D$1&amp;"!$O$18"))+COUNTIF(Resultat!$K$13:$AB32,INDIRECT(D$1&amp;"!$O$19")))*Resultat!$AA$5)</f>
        <v>6</v>
      </c>
      <c r="E416">
        <f ca="1">IF(INDIRECT(E$1&amp;"!K"&amp;$A416+12)="","",(COUNTIF(Resultat!$K$13:$AB32,INDIRECT(E$1&amp;"!$O$17"))+COUNTIF(Resultat!$K$13:$AB32,INDIRECT(E$1&amp;"!$O$18"))+COUNTIF(Resultat!$K$13:$AB32,INDIRECT(E$1&amp;"!$O$19")))*Resultat!$AA$5)</f>
        <v>8</v>
      </c>
      <c r="F416">
        <f ca="1">IF(INDIRECT(F$1&amp;"!K"&amp;$A416+12)="","",(COUNTIF(Resultat!$K$13:$AB32,INDIRECT(F$1&amp;"!$O$17"))+COUNTIF(Resultat!$K$13:$AB32,INDIRECT(F$1&amp;"!$O$18"))+COUNTIF(Resultat!$K$13:$AB32,INDIRECT(F$1&amp;"!$O$19")))*Resultat!$AA$5)</f>
        <v>6</v>
      </c>
    </row>
    <row r="417" spans="1:6" outlineLevel="1" x14ac:dyDescent="0.2">
      <c r="A417">
        <v>21</v>
      </c>
      <c r="B417">
        <f ca="1">IF(INDIRECT(B$1&amp;"!K"&amp;$A417+12)="","",(COUNTIF(Resultat!$K$13:$AB33,INDIRECT(B$1&amp;"!$O$17"))+COUNTIF(Resultat!$K$13:$AB33,INDIRECT(B$1&amp;"!$O$18"))+COUNTIF(Resultat!$K$13:$AB33,INDIRECT(B$1&amp;"!$O$19")))*Resultat!$AA$5)</f>
        <v>8</v>
      </c>
      <c r="C417">
        <f ca="1">IF(INDIRECT(C$1&amp;"!K"&amp;$A417+12)="","",(COUNTIF(Resultat!$K$13:$AB33,INDIRECT(C$1&amp;"!$O$17"))+COUNTIF(Resultat!$K$13:$AB33,INDIRECT(C$1&amp;"!$O$18"))+COUNTIF(Resultat!$K$13:$AB33,INDIRECT(C$1&amp;"!$O$19")))*Resultat!$AA$5)</f>
        <v>6</v>
      </c>
      <c r="D417">
        <f ca="1">IF(INDIRECT(D$1&amp;"!K"&amp;$A417+12)="","",(COUNTIF(Resultat!$K$13:$AB33,INDIRECT(D$1&amp;"!$O$17"))+COUNTIF(Resultat!$K$13:$AB33,INDIRECT(D$1&amp;"!$O$18"))+COUNTIF(Resultat!$K$13:$AB33,INDIRECT(D$1&amp;"!$O$19")))*Resultat!$AA$5)</f>
        <v>6</v>
      </c>
      <c r="E417">
        <f ca="1">IF(INDIRECT(E$1&amp;"!K"&amp;$A417+12)="","",(COUNTIF(Resultat!$K$13:$AB33,INDIRECT(E$1&amp;"!$O$17"))+COUNTIF(Resultat!$K$13:$AB33,INDIRECT(E$1&amp;"!$O$18"))+COUNTIF(Resultat!$K$13:$AB33,INDIRECT(E$1&amp;"!$O$19")))*Resultat!$AA$5)</f>
        <v>8</v>
      </c>
      <c r="F417">
        <f ca="1">IF(INDIRECT(F$1&amp;"!K"&amp;$A417+12)="","",(COUNTIF(Resultat!$K$13:$AB33,INDIRECT(F$1&amp;"!$O$17"))+COUNTIF(Resultat!$K$13:$AB33,INDIRECT(F$1&amp;"!$O$18"))+COUNTIF(Resultat!$K$13:$AB33,INDIRECT(F$1&amp;"!$O$19")))*Resultat!$AA$5)</f>
        <v>6</v>
      </c>
    </row>
    <row r="418" spans="1:6" outlineLevel="1" x14ac:dyDescent="0.2">
      <c r="A418">
        <v>22</v>
      </c>
      <c r="B418">
        <f ca="1">IF(INDIRECT(B$1&amp;"!K"&amp;$A418+12)="","",(COUNTIF(Resultat!$K$13:$AB34,INDIRECT(B$1&amp;"!$O$17"))+COUNTIF(Resultat!$K$13:$AB34,INDIRECT(B$1&amp;"!$O$18"))+COUNTIF(Resultat!$K$13:$AB34,INDIRECT(B$1&amp;"!$O$19")))*Resultat!$AA$5)</f>
        <v>8</v>
      </c>
      <c r="C418">
        <f ca="1">IF(INDIRECT(C$1&amp;"!K"&amp;$A418+12)="","",(COUNTIF(Resultat!$K$13:$AB34,INDIRECT(C$1&amp;"!$O$17"))+COUNTIF(Resultat!$K$13:$AB34,INDIRECT(C$1&amp;"!$O$18"))+COUNTIF(Resultat!$K$13:$AB34,INDIRECT(C$1&amp;"!$O$19")))*Resultat!$AA$5)</f>
        <v>6</v>
      </c>
      <c r="D418">
        <f ca="1">IF(INDIRECT(D$1&amp;"!K"&amp;$A418+12)="","",(COUNTIF(Resultat!$K$13:$AB34,INDIRECT(D$1&amp;"!$O$17"))+COUNTIF(Resultat!$K$13:$AB34,INDIRECT(D$1&amp;"!$O$18"))+COUNTIF(Resultat!$K$13:$AB34,INDIRECT(D$1&amp;"!$O$19")))*Resultat!$AA$5)</f>
        <v>6</v>
      </c>
      <c r="E418">
        <f ca="1">IF(INDIRECT(E$1&amp;"!K"&amp;$A418+12)="","",(COUNTIF(Resultat!$K$13:$AB34,INDIRECT(E$1&amp;"!$O$17"))+COUNTIF(Resultat!$K$13:$AB34,INDIRECT(E$1&amp;"!$O$18"))+COUNTIF(Resultat!$K$13:$AB34,INDIRECT(E$1&amp;"!$O$19")))*Resultat!$AA$5)</f>
        <v>8</v>
      </c>
      <c r="F418">
        <f ca="1">IF(INDIRECT(F$1&amp;"!K"&amp;$A418+12)="","",(COUNTIF(Resultat!$K$13:$AB34,INDIRECT(F$1&amp;"!$O$17"))+COUNTIF(Resultat!$K$13:$AB34,INDIRECT(F$1&amp;"!$O$18"))+COUNTIF(Resultat!$K$13:$AB34,INDIRECT(F$1&amp;"!$O$19")))*Resultat!$AA$5)</f>
        <v>6</v>
      </c>
    </row>
    <row r="419" spans="1:6" outlineLevel="1" x14ac:dyDescent="0.2">
      <c r="A419">
        <v>23</v>
      </c>
      <c r="B419">
        <f ca="1">IF(INDIRECT(B$1&amp;"!K"&amp;$A419+12)="","",(COUNTIF(Resultat!$K$13:$AB35,INDIRECT(B$1&amp;"!$O$17"))+COUNTIF(Resultat!$K$13:$AB35,INDIRECT(B$1&amp;"!$O$18"))+COUNTIF(Resultat!$K$13:$AB35,INDIRECT(B$1&amp;"!$O$19")))*Resultat!$AA$5)</f>
        <v>8</v>
      </c>
      <c r="C419">
        <f ca="1">IF(INDIRECT(C$1&amp;"!K"&amp;$A419+12)="","",(COUNTIF(Resultat!$K$13:$AB35,INDIRECT(C$1&amp;"!$O$17"))+COUNTIF(Resultat!$K$13:$AB35,INDIRECT(C$1&amp;"!$O$18"))+COUNTIF(Resultat!$K$13:$AB35,INDIRECT(C$1&amp;"!$O$19")))*Resultat!$AA$5)</f>
        <v>6</v>
      </c>
      <c r="D419">
        <f ca="1">IF(INDIRECT(D$1&amp;"!K"&amp;$A419+12)="","",(COUNTIF(Resultat!$K$13:$AB35,INDIRECT(D$1&amp;"!$O$17"))+COUNTIF(Resultat!$K$13:$AB35,INDIRECT(D$1&amp;"!$O$18"))+COUNTIF(Resultat!$K$13:$AB35,INDIRECT(D$1&amp;"!$O$19")))*Resultat!$AA$5)</f>
        <v>6</v>
      </c>
      <c r="E419">
        <f ca="1">IF(INDIRECT(E$1&amp;"!K"&amp;$A419+12)="","",(COUNTIF(Resultat!$K$13:$AB35,INDIRECT(E$1&amp;"!$O$17"))+COUNTIF(Resultat!$K$13:$AB35,INDIRECT(E$1&amp;"!$O$18"))+COUNTIF(Resultat!$K$13:$AB35,INDIRECT(E$1&amp;"!$O$19")))*Resultat!$AA$5)</f>
        <v>8</v>
      </c>
      <c r="F419">
        <f ca="1">IF(INDIRECT(F$1&amp;"!K"&amp;$A419+12)="","",(COUNTIF(Resultat!$K$13:$AB35,INDIRECT(F$1&amp;"!$O$17"))+COUNTIF(Resultat!$K$13:$AB35,INDIRECT(F$1&amp;"!$O$18"))+COUNTIF(Resultat!$K$13:$AB35,INDIRECT(F$1&amp;"!$O$19")))*Resultat!$AA$5)</f>
        <v>6</v>
      </c>
    </row>
    <row r="420" spans="1:6" outlineLevel="1" x14ac:dyDescent="0.2">
      <c r="A420">
        <v>24</v>
      </c>
      <c r="B420">
        <f ca="1">IF(INDIRECT(B$1&amp;"!K"&amp;$A420+12)="","",(COUNTIF(Resultat!$K$13:$AB36,INDIRECT(B$1&amp;"!$O$17"))+COUNTIF(Resultat!$K$13:$AB36,INDIRECT(B$1&amp;"!$O$18"))+COUNTIF(Resultat!$K$13:$AB36,INDIRECT(B$1&amp;"!$O$19")))*Resultat!$AA$5)</f>
        <v>8</v>
      </c>
      <c r="C420">
        <f ca="1">IF(INDIRECT(C$1&amp;"!K"&amp;$A420+12)="","",(COUNTIF(Resultat!$K$13:$AB36,INDIRECT(C$1&amp;"!$O$17"))+COUNTIF(Resultat!$K$13:$AB36,INDIRECT(C$1&amp;"!$O$18"))+COUNTIF(Resultat!$K$13:$AB36,INDIRECT(C$1&amp;"!$O$19")))*Resultat!$AA$5)</f>
        <v>6</v>
      </c>
      <c r="D420">
        <f ca="1">IF(INDIRECT(D$1&amp;"!K"&amp;$A420+12)="","",(COUNTIF(Resultat!$K$13:$AB36,INDIRECT(D$1&amp;"!$O$17"))+COUNTIF(Resultat!$K$13:$AB36,INDIRECT(D$1&amp;"!$O$18"))+COUNTIF(Resultat!$K$13:$AB36,INDIRECT(D$1&amp;"!$O$19")))*Resultat!$AA$5)</f>
        <v>6</v>
      </c>
      <c r="E420">
        <f ca="1">IF(INDIRECT(E$1&amp;"!K"&amp;$A420+12)="","",(COUNTIF(Resultat!$K$13:$AB36,INDIRECT(E$1&amp;"!$O$17"))+COUNTIF(Resultat!$K$13:$AB36,INDIRECT(E$1&amp;"!$O$18"))+COUNTIF(Resultat!$K$13:$AB36,INDIRECT(E$1&amp;"!$O$19")))*Resultat!$AA$5)</f>
        <v>8</v>
      </c>
      <c r="F420">
        <f ca="1">IF(INDIRECT(F$1&amp;"!K"&amp;$A420+12)="","",(COUNTIF(Resultat!$K$13:$AB36,INDIRECT(F$1&amp;"!$O$17"))+COUNTIF(Resultat!$K$13:$AB36,INDIRECT(F$1&amp;"!$O$18"))+COUNTIF(Resultat!$K$13:$AB36,INDIRECT(F$1&amp;"!$O$19")))*Resultat!$AA$5)</f>
        <v>6</v>
      </c>
    </row>
    <row r="421" spans="1:6" outlineLevel="1" x14ac:dyDescent="0.2">
      <c r="A421">
        <v>25</v>
      </c>
      <c r="B421">
        <f ca="1">IF(INDIRECT(B$1&amp;"!K"&amp;$A421+12)="","",(COUNTIF(Resultat!$K$13:$AB37,INDIRECT(B$1&amp;"!$O$17"))+COUNTIF(Resultat!$K$13:$AB37,INDIRECT(B$1&amp;"!$O$18"))+COUNTIF(Resultat!$K$13:$AB37,INDIRECT(B$1&amp;"!$O$19")))*Resultat!$AA$5)</f>
        <v>8</v>
      </c>
      <c r="C421">
        <f ca="1">IF(INDIRECT(C$1&amp;"!K"&amp;$A421+12)="","",(COUNTIF(Resultat!$K$13:$AB37,INDIRECT(C$1&amp;"!$O$17"))+COUNTIF(Resultat!$K$13:$AB37,INDIRECT(C$1&amp;"!$O$18"))+COUNTIF(Resultat!$K$13:$AB37,INDIRECT(C$1&amp;"!$O$19")))*Resultat!$AA$5)</f>
        <v>6</v>
      </c>
      <c r="D421">
        <f ca="1">IF(INDIRECT(D$1&amp;"!K"&amp;$A421+12)="","",(COUNTIF(Resultat!$K$13:$AB37,INDIRECT(D$1&amp;"!$O$17"))+COUNTIF(Resultat!$K$13:$AB37,INDIRECT(D$1&amp;"!$O$18"))+COUNTIF(Resultat!$K$13:$AB37,INDIRECT(D$1&amp;"!$O$19")))*Resultat!$AA$5)</f>
        <v>6</v>
      </c>
      <c r="E421">
        <f ca="1">IF(INDIRECT(E$1&amp;"!K"&amp;$A421+12)="","",(COUNTIF(Resultat!$K$13:$AB37,INDIRECT(E$1&amp;"!$O$17"))+COUNTIF(Resultat!$K$13:$AB37,INDIRECT(E$1&amp;"!$O$18"))+COUNTIF(Resultat!$K$13:$AB37,INDIRECT(E$1&amp;"!$O$19")))*Resultat!$AA$5)</f>
        <v>8</v>
      </c>
      <c r="F421">
        <f ca="1">IF(INDIRECT(F$1&amp;"!K"&amp;$A421+12)="","",(COUNTIF(Resultat!$K$13:$AB37,INDIRECT(F$1&amp;"!$O$17"))+COUNTIF(Resultat!$K$13:$AB37,INDIRECT(F$1&amp;"!$O$18"))+COUNTIF(Resultat!$K$13:$AB37,INDIRECT(F$1&amp;"!$O$19")))*Resultat!$AA$5)</f>
        <v>6</v>
      </c>
    </row>
    <row r="422" spans="1:6" outlineLevel="1" x14ac:dyDescent="0.2">
      <c r="A422">
        <v>26</v>
      </c>
      <c r="B422">
        <f ca="1">IF(INDIRECT(B$1&amp;"!K"&amp;$A422+12)="","",(COUNTIF(Resultat!$K$13:$AB38,INDIRECT(B$1&amp;"!$O$17"))+COUNTIF(Resultat!$K$13:$AB38,INDIRECT(B$1&amp;"!$O$18"))+COUNTIF(Resultat!$K$13:$AB38,INDIRECT(B$1&amp;"!$O$19")))*Resultat!$AA$5)</f>
        <v>8</v>
      </c>
      <c r="C422">
        <f ca="1">IF(INDIRECT(C$1&amp;"!K"&amp;$A422+12)="","",(COUNTIF(Resultat!$K$13:$AB38,INDIRECT(C$1&amp;"!$O$17"))+COUNTIF(Resultat!$K$13:$AB38,INDIRECT(C$1&amp;"!$O$18"))+COUNTIF(Resultat!$K$13:$AB38,INDIRECT(C$1&amp;"!$O$19")))*Resultat!$AA$5)</f>
        <v>6</v>
      </c>
      <c r="D422">
        <f ca="1">IF(INDIRECT(D$1&amp;"!K"&amp;$A422+12)="","",(COUNTIF(Resultat!$K$13:$AB38,INDIRECT(D$1&amp;"!$O$17"))+COUNTIF(Resultat!$K$13:$AB38,INDIRECT(D$1&amp;"!$O$18"))+COUNTIF(Resultat!$K$13:$AB38,INDIRECT(D$1&amp;"!$O$19")))*Resultat!$AA$5)</f>
        <v>6</v>
      </c>
      <c r="E422">
        <f ca="1">IF(INDIRECT(E$1&amp;"!K"&amp;$A422+12)="","",(COUNTIF(Resultat!$K$13:$AB38,INDIRECT(E$1&amp;"!$O$17"))+COUNTIF(Resultat!$K$13:$AB38,INDIRECT(E$1&amp;"!$O$18"))+COUNTIF(Resultat!$K$13:$AB38,INDIRECT(E$1&amp;"!$O$19")))*Resultat!$AA$5)</f>
        <v>8</v>
      </c>
      <c r="F422">
        <f ca="1">IF(INDIRECT(F$1&amp;"!K"&amp;$A422+12)="","",(COUNTIF(Resultat!$K$13:$AB38,INDIRECT(F$1&amp;"!$O$17"))+COUNTIF(Resultat!$K$13:$AB38,INDIRECT(F$1&amp;"!$O$18"))+COUNTIF(Resultat!$K$13:$AB38,INDIRECT(F$1&amp;"!$O$19")))*Resultat!$AA$5)</f>
        <v>6</v>
      </c>
    </row>
    <row r="423" spans="1:6" outlineLevel="1" x14ac:dyDescent="0.2">
      <c r="A423">
        <v>27</v>
      </c>
      <c r="B423">
        <f ca="1">IF(INDIRECT(B$1&amp;"!K"&amp;$A423+12)="","",(COUNTIF(Resultat!$K$13:$AB39,INDIRECT(B$1&amp;"!$O$17"))+COUNTIF(Resultat!$K$13:$AB39,INDIRECT(B$1&amp;"!$O$18"))+COUNTIF(Resultat!$K$13:$AB39,INDIRECT(B$1&amp;"!$O$19")))*Resultat!$AA$5)</f>
        <v>8</v>
      </c>
      <c r="C423">
        <f ca="1">IF(INDIRECT(C$1&amp;"!K"&amp;$A423+12)="","",(COUNTIF(Resultat!$K$13:$AB39,INDIRECT(C$1&amp;"!$O$17"))+COUNTIF(Resultat!$K$13:$AB39,INDIRECT(C$1&amp;"!$O$18"))+COUNTIF(Resultat!$K$13:$AB39,INDIRECT(C$1&amp;"!$O$19")))*Resultat!$AA$5)</f>
        <v>6</v>
      </c>
      <c r="D423">
        <f ca="1">IF(INDIRECT(D$1&amp;"!K"&amp;$A423+12)="","",(COUNTIF(Resultat!$K$13:$AB39,INDIRECT(D$1&amp;"!$O$17"))+COUNTIF(Resultat!$K$13:$AB39,INDIRECT(D$1&amp;"!$O$18"))+COUNTIF(Resultat!$K$13:$AB39,INDIRECT(D$1&amp;"!$O$19")))*Resultat!$AA$5)</f>
        <v>6</v>
      </c>
      <c r="E423">
        <f ca="1">IF(INDIRECT(E$1&amp;"!K"&amp;$A423+12)="","",(COUNTIF(Resultat!$K$13:$AB39,INDIRECT(E$1&amp;"!$O$17"))+COUNTIF(Resultat!$K$13:$AB39,INDIRECT(E$1&amp;"!$O$18"))+COUNTIF(Resultat!$K$13:$AB39,INDIRECT(E$1&amp;"!$O$19")))*Resultat!$AA$5)</f>
        <v>8</v>
      </c>
      <c r="F423">
        <f ca="1">IF(INDIRECT(F$1&amp;"!K"&amp;$A423+12)="","",(COUNTIF(Resultat!$K$13:$AB39,INDIRECT(F$1&amp;"!$O$17"))+COUNTIF(Resultat!$K$13:$AB39,INDIRECT(F$1&amp;"!$O$18"))+COUNTIF(Resultat!$K$13:$AB39,INDIRECT(F$1&amp;"!$O$19")))*Resultat!$AA$5)</f>
        <v>6</v>
      </c>
    </row>
    <row r="424" spans="1:6" outlineLevel="1" x14ac:dyDescent="0.2">
      <c r="A424">
        <v>28</v>
      </c>
      <c r="B424">
        <f ca="1">IF(INDIRECT(B$1&amp;"!K"&amp;$A424+12)="","",(COUNTIF(Resultat!$K$13:$AB40,INDIRECT(B$1&amp;"!$O$17"))+COUNTIF(Resultat!$K$13:$AB40,INDIRECT(B$1&amp;"!$O$18"))+COUNTIF(Resultat!$K$13:$AB40,INDIRECT(B$1&amp;"!$O$19")))*Resultat!$AA$5)</f>
        <v>8</v>
      </c>
      <c r="C424">
        <f ca="1">IF(INDIRECT(C$1&amp;"!K"&amp;$A424+12)="","",(COUNTIF(Resultat!$K$13:$AB40,INDIRECT(C$1&amp;"!$O$17"))+COUNTIF(Resultat!$K$13:$AB40,INDIRECT(C$1&amp;"!$O$18"))+COUNTIF(Resultat!$K$13:$AB40,INDIRECT(C$1&amp;"!$O$19")))*Resultat!$AA$5)</f>
        <v>6</v>
      </c>
      <c r="D424">
        <f ca="1">IF(INDIRECT(D$1&amp;"!K"&amp;$A424+12)="","",(COUNTIF(Resultat!$K$13:$AB40,INDIRECT(D$1&amp;"!$O$17"))+COUNTIF(Resultat!$K$13:$AB40,INDIRECT(D$1&amp;"!$O$18"))+COUNTIF(Resultat!$K$13:$AB40,INDIRECT(D$1&amp;"!$O$19")))*Resultat!$AA$5)</f>
        <v>6</v>
      </c>
      <c r="E424">
        <f ca="1">IF(INDIRECT(E$1&amp;"!K"&amp;$A424+12)="","",(COUNTIF(Resultat!$K$13:$AB40,INDIRECT(E$1&amp;"!$O$17"))+COUNTIF(Resultat!$K$13:$AB40,INDIRECT(E$1&amp;"!$O$18"))+COUNTIF(Resultat!$K$13:$AB40,INDIRECT(E$1&amp;"!$O$19")))*Resultat!$AA$5)</f>
        <v>8</v>
      </c>
      <c r="F424">
        <f ca="1">IF(INDIRECT(F$1&amp;"!K"&amp;$A424+12)="","",(COUNTIF(Resultat!$K$13:$AB40,INDIRECT(F$1&amp;"!$O$17"))+COUNTIF(Resultat!$K$13:$AB40,INDIRECT(F$1&amp;"!$O$18"))+COUNTIF(Resultat!$K$13:$AB40,INDIRECT(F$1&amp;"!$O$19")))*Resultat!$AA$5)</f>
        <v>6</v>
      </c>
    </row>
    <row r="425" spans="1:6" outlineLevel="1" x14ac:dyDescent="0.2">
      <c r="A425">
        <v>29</v>
      </c>
      <c r="B425">
        <f ca="1">IF(INDIRECT(B$1&amp;"!K"&amp;$A425+12)="","",(COUNTIF(Resultat!$K$13:$AB41,INDIRECT(B$1&amp;"!$O$17"))+COUNTIF(Resultat!$K$13:$AB41,INDIRECT(B$1&amp;"!$O$18"))+COUNTIF(Resultat!$K$13:$AB41,INDIRECT(B$1&amp;"!$O$19")))*Resultat!$AA$5)</f>
        <v>8</v>
      </c>
      <c r="C425">
        <f ca="1">IF(INDIRECT(C$1&amp;"!K"&amp;$A425+12)="","",(COUNTIF(Resultat!$K$13:$AB41,INDIRECT(C$1&amp;"!$O$17"))+COUNTIF(Resultat!$K$13:$AB41,INDIRECT(C$1&amp;"!$O$18"))+COUNTIF(Resultat!$K$13:$AB41,INDIRECT(C$1&amp;"!$O$19")))*Resultat!$AA$5)</f>
        <v>6</v>
      </c>
      <c r="D425">
        <f ca="1">IF(INDIRECT(D$1&amp;"!K"&amp;$A425+12)="","",(COUNTIF(Resultat!$K$13:$AB41,INDIRECT(D$1&amp;"!$O$17"))+COUNTIF(Resultat!$K$13:$AB41,INDIRECT(D$1&amp;"!$O$18"))+COUNTIF(Resultat!$K$13:$AB41,INDIRECT(D$1&amp;"!$O$19")))*Resultat!$AA$5)</f>
        <v>6</v>
      </c>
      <c r="E425">
        <f ca="1">IF(INDIRECT(E$1&amp;"!K"&amp;$A425+12)="","",(COUNTIF(Resultat!$K$13:$AB41,INDIRECT(E$1&amp;"!$O$17"))+COUNTIF(Resultat!$K$13:$AB41,INDIRECT(E$1&amp;"!$O$18"))+COUNTIF(Resultat!$K$13:$AB41,INDIRECT(E$1&amp;"!$O$19")))*Resultat!$AA$5)</f>
        <v>8</v>
      </c>
      <c r="F425">
        <f ca="1">IF(INDIRECT(F$1&amp;"!K"&amp;$A425+12)="","",(COUNTIF(Resultat!$K$13:$AB41,INDIRECT(F$1&amp;"!$O$17"))+COUNTIF(Resultat!$K$13:$AB41,INDIRECT(F$1&amp;"!$O$18"))+COUNTIF(Resultat!$K$13:$AB41,INDIRECT(F$1&amp;"!$O$19")))*Resultat!$AA$5)</f>
        <v>6</v>
      </c>
    </row>
    <row r="426" spans="1:6" outlineLevel="1" x14ac:dyDescent="0.2">
      <c r="A426">
        <v>30</v>
      </c>
      <c r="B426">
        <f ca="1">IF(INDIRECT(B$1&amp;"!K"&amp;$A426+12)="","",(COUNTIF(Resultat!$K$13:$AB42,INDIRECT(B$1&amp;"!$O$17"))+COUNTIF(Resultat!$K$13:$AB42,INDIRECT(B$1&amp;"!$O$18"))+COUNTIF(Resultat!$K$13:$AB42,INDIRECT(B$1&amp;"!$O$19")))*Resultat!$AA$5)</f>
        <v>8</v>
      </c>
      <c r="C426">
        <f ca="1">IF(INDIRECT(C$1&amp;"!K"&amp;$A426+12)="","",(COUNTIF(Resultat!$K$13:$AB42,INDIRECT(C$1&amp;"!$O$17"))+COUNTIF(Resultat!$K$13:$AB42,INDIRECT(C$1&amp;"!$O$18"))+COUNTIF(Resultat!$K$13:$AB42,INDIRECT(C$1&amp;"!$O$19")))*Resultat!$AA$5)</f>
        <v>6</v>
      </c>
      <c r="D426">
        <f ca="1">IF(INDIRECT(D$1&amp;"!K"&amp;$A426+12)="","",(COUNTIF(Resultat!$K$13:$AB42,INDIRECT(D$1&amp;"!$O$17"))+COUNTIF(Resultat!$K$13:$AB42,INDIRECT(D$1&amp;"!$O$18"))+COUNTIF(Resultat!$K$13:$AB42,INDIRECT(D$1&amp;"!$O$19")))*Resultat!$AA$5)</f>
        <v>6</v>
      </c>
      <c r="E426">
        <f ca="1">IF(INDIRECT(E$1&amp;"!K"&amp;$A426+12)="","",(COUNTIF(Resultat!$K$13:$AB42,INDIRECT(E$1&amp;"!$O$17"))+COUNTIF(Resultat!$K$13:$AB42,INDIRECT(E$1&amp;"!$O$18"))+COUNTIF(Resultat!$K$13:$AB42,INDIRECT(E$1&amp;"!$O$19")))*Resultat!$AA$5)</f>
        <v>8</v>
      </c>
      <c r="F426">
        <f ca="1">IF(INDIRECT(F$1&amp;"!K"&amp;$A426+12)="","",(COUNTIF(Resultat!$K$13:$AB42,INDIRECT(F$1&amp;"!$O$17"))+COUNTIF(Resultat!$K$13:$AB42,INDIRECT(F$1&amp;"!$O$18"))+COUNTIF(Resultat!$K$13:$AB42,INDIRECT(F$1&amp;"!$O$19")))*Resultat!$AA$5)</f>
        <v>6</v>
      </c>
    </row>
    <row r="427" spans="1:6" outlineLevel="1" x14ac:dyDescent="0.2">
      <c r="A427">
        <v>31</v>
      </c>
      <c r="B427">
        <f ca="1">IF(INDIRECT(B$1&amp;"!K"&amp;$A427+12)="","",(COUNTIF(Resultat!$K$13:$AB43,INDIRECT(B$1&amp;"!$O$17"))+COUNTIF(Resultat!$K$13:$AB43,INDIRECT(B$1&amp;"!$O$18"))+COUNTIF(Resultat!$K$13:$AB43,INDIRECT(B$1&amp;"!$O$19")))*Resultat!$AA$5)</f>
        <v>8</v>
      </c>
      <c r="C427">
        <f ca="1">IF(INDIRECT(C$1&amp;"!K"&amp;$A427+12)="","",(COUNTIF(Resultat!$K$13:$AB43,INDIRECT(C$1&amp;"!$O$17"))+COUNTIF(Resultat!$K$13:$AB43,INDIRECT(C$1&amp;"!$O$18"))+COUNTIF(Resultat!$K$13:$AB43,INDIRECT(C$1&amp;"!$O$19")))*Resultat!$AA$5)</f>
        <v>6</v>
      </c>
      <c r="D427">
        <f ca="1">IF(INDIRECT(D$1&amp;"!K"&amp;$A427+12)="","",(COUNTIF(Resultat!$K$13:$AB43,INDIRECT(D$1&amp;"!$O$17"))+COUNTIF(Resultat!$K$13:$AB43,INDIRECT(D$1&amp;"!$O$18"))+COUNTIF(Resultat!$K$13:$AB43,INDIRECT(D$1&amp;"!$O$19")))*Resultat!$AA$5)</f>
        <v>6</v>
      </c>
      <c r="E427">
        <f ca="1">IF(INDIRECT(E$1&amp;"!K"&amp;$A427+12)="","",(COUNTIF(Resultat!$K$13:$AB43,INDIRECT(E$1&amp;"!$O$17"))+COUNTIF(Resultat!$K$13:$AB43,INDIRECT(E$1&amp;"!$O$18"))+COUNTIF(Resultat!$K$13:$AB43,INDIRECT(E$1&amp;"!$O$19")))*Resultat!$AA$5)</f>
        <v>8</v>
      </c>
      <c r="F427">
        <f ca="1">IF(INDIRECT(F$1&amp;"!K"&amp;$A427+12)="","",(COUNTIF(Resultat!$K$13:$AB43,INDIRECT(F$1&amp;"!$O$17"))+COUNTIF(Resultat!$K$13:$AB43,INDIRECT(F$1&amp;"!$O$18"))+COUNTIF(Resultat!$K$13:$AB43,INDIRECT(F$1&amp;"!$O$19")))*Resultat!$AA$5)</f>
        <v>6</v>
      </c>
    </row>
    <row r="428" spans="1:6" outlineLevel="1" x14ac:dyDescent="0.2">
      <c r="A428">
        <v>32</v>
      </c>
      <c r="B428" t="str">
        <f ca="1">IF(INDIRECT(B$1&amp;"!K"&amp;$A428+12)="","",(COUNTIF(Resultat!$K$13:$AB44,INDIRECT(B$1&amp;"!$O$17"))+COUNTIF(Resultat!$K$13:$AB44,INDIRECT(B$1&amp;"!$O$18"))+COUNTIF(Resultat!$K$13:$AB44,INDIRECT(B$1&amp;"!$O$19")))*Resultat!$AA$5)</f>
        <v/>
      </c>
      <c r="C428" t="str">
        <f ca="1">IF(INDIRECT(C$1&amp;"!K"&amp;$A428+12)="","",(COUNTIF(Resultat!$K$13:$AB44,INDIRECT(C$1&amp;"!$O$17"))+COUNTIF(Resultat!$K$13:$AB44,INDIRECT(C$1&amp;"!$O$18"))+COUNTIF(Resultat!$K$13:$AB44,INDIRECT(C$1&amp;"!$O$19")))*Resultat!$AA$5)</f>
        <v/>
      </c>
      <c r="D428" t="str">
        <f ca="1">IF(INDIRECT(D$1&amp;"!K"&amp;$A428+12)="","",(COUNTIF(Resultat!$K$13:$AB44,INDIRECT(D$1&amp;"!$O$17"))+COUNTIF(Resultat!$K$13:$AB44,INDIRECT(D$1&amp;"!$O$18"))+COUNTIF(Resultat!$K$13:$AB44,INDIRECT(D$1&amp;"!$O$19")))*Resultat!$AA$5)</f>
        <v/>
      </c>
      <c r="E428" t="str">
        <f ca="1">IF(INDIRECT(E$1&amp;"!K"&amp;$A428+12)="","",(COUNTIF(Resultat!$K$13:$AB44,INDIRECT(E$1&amp;"!$O$17"))+COUNTIF(Resultat!$K$13:$AB44,INDIRECT(E$1&amp;"!$O$18"))+COUNTIF(Resultat!$K$13:$AB44,INDIRECT(E$1&amp;"!$O$19")))*Resultat!$AA$5)</f>
        <v/>
      </c>
      <c r="F428" t="str">
        <f ca="1">IF(INDIRECT(F$1&amp;"!K"&amp;$A428+12)="","",(COUNTIF(Resultat!$K$13:$AB44,INDIRECT(F$1&amp;"!$O$17"))+COUNTIF(Resultat!$K$13:$AB44,INDIRECT(F$1&amp;"!$O$18"))+COUNTIF(Resultat!$K$13:$AB44,INDIRECT(F$1&amp;"!$O$19")))*Resultat!$AA$5)</f>
        <v/>
      </c>
    </row>
    <row r="429" spans="1:6" outlineLevel="1" x14ac:dyDescent="0.2">
      <c r="A429">
        <v>33</v>
      </c>
      <c r="B429" t="str">
        <f ca="1">IF(INDIRECT(B$1&amp;"!K"&amp;$A429+12)="","",(COUNTIF(Resultat!$K$13:$AB45,INDIRECT(B$1&amp;"!$O$17"))+COUNTIF(Resultat!$K$13:$AB45,INDIRECT(B$1&amp;"!$O$18"))+COUNTIF(Resultat!$K$13:$AB45,INDIRECT(B$1&amp;"!$O$19")))*Resultat!$AA$5)</f>
        <v/>
      </c>
      <c r="C429" t="str">
        <f ca="1">IF(INDIRECT(C$1&amp;"!K"&amp;$A429+12)="","",(COUNTIF(Resultat!$K$13:$AB45,INDIRECT(C$1&amp;"!$O$17"))+COUNTIF(Resultat!$K$13:$AB45,INDIRECT(C$1&amp;"!$O$18"))+COUNTIF(Resultat!$K$13:$AB45,INDIRECT(C$1&amp;"!$O$19")))*Resultat!$AA$5)</f>
        <v/>
      </c>
      <c r="D429" t="str">
        <f ca="1">IF(INDIRECT(D$1&amp;"!K"&amp;$A429+12)="","",(COUNTIF(Resultat!$K$13:$AB45,INDIRECT(D$1&amp;"!$O$17"))+COUNTIF(Resultat!$K$13:$AB45,INDIRECT(D$1&amp;"!$O$18"))+COUNTIF(Resultat!$K$13:$AB45,INDIRECT(D$1&amp;"!$O$19")))*Resultat!$AA$5)</f>
        <v/>
      </c>
      <c r="E429" t="str">
        <f ca="1">IF(INDIRECT(E$1&amp;"!K"&amp;$A429+12)="","",(COUNTIF(Resultat!$K$13:$AB45,INDIRECT(E$1&amp;"!$O$17"))+COUNTIF(Resultat!$K$13:$AB45,INDIRECT(E$1&amp;"!$O$18"))+COUNTIF(Resultat!$K$13:$AB45,INDIRECT(E$1&amp;"!$O$19")))*Resultat!$AA$5)</f>
        <v/>
      </c>
      <c r="F429" t="str">
        <f ca="1">IF(INDIRECT(F$1&amp;"!K"&amp;$A429+12)="","",(COUNTIF(Resultat!$K$13:$AB45,INDIRECT(F$1&amp;"!$O$17"))+COUNTIF(Resultat!$K$13:$AB45,INDIRECT(F$1&amp;"!$O$18"))+COUNTIF(Resultat!$K$13:$AB45,INDIRECT(F$1&amp;"!$O$19")))*Resultat!$AA$5)</f>
        <v/>
      </c>
    </row>
    <row r="430" spans="1:6" outlineLevel="1" x14ac:dyDescent="0.2">
      <c r="A430">
        <v>34</v>
      </c>
      <c r="B430" t="str">
        <f ca="1">IF(INDIRECT(B$1&amp;"!K"&amp;$A430+12)="","",(COUNTIF(Resultat!$K$13:$AB46,INDIRECT(B$1&amp;"!$O$17"))+COUNTIF(Resultat!$K$13:$AB46,INDIRECT(B$1&amp;"!$O$18"))+COUNTIF(Resultat!$K$13:$AB46,INDIRECT(B$1&amp;"!$O$19")))*Resultat!$AA$5)</f>
        <v/>
      </c>
      <c r="C430" t="str">
        <f ca="1">IF(INDIRECT(C$1&amp;"!K"&amp;$A430+12)="","",(COUNTIF(Resultat!$K$13:$AB46,INDIRECT(C$1&amp;"!$O$17"))+COUNTIF(Resultat!$K$13:$AB46,INDIRECT(C$1&amp;"!$O$18"))+COUNTIF(Resultat!$K$13:$AB46,INDIRECT(C$1&amp;"!$O$19")))*Resultat!$AA$5)</f>
        <v/>
      </c>
      <c r="D430" t="str">
        <f ca="1">IF(INDIRECT(D$1&amp;"!K"&amp;$A430+12)="","",(COUNTIF(Resultat!$K$13:$AB46,INDIRECT(D$1&amp;"!$O$17"))+COUNTIF(Resultat!$K$13:$AB46,INDIRECT(D$1&amp;"!$O$18"))+COUNTIF(Resultat!$K$13:$AB46,INDIRECT(D$1&amp;"!$O$19")))*Resultat!$AA$5)</f>
        <v/>
      </c>
      <c r="E430" t="str">
        <f ca="1">IF(INDIRECT(E$1&amp;"!K"&amp;$A430+12)="","",(COUNTIF(Resultat!$K$13:$AB46,INDIRECT(E$1&amp;"!$O$17"))+COUNTIF(Resultat!$K$13:$AB46,INDIRECT(E$1&amp;"!$O$18"))+COUNTIF(Resultat!$K$13:$AB46,INDIRECT(E$1&amp;"!$O$19")))*Resultat!$AA$5)</f>
        <v/>
      </c>
      <c r="F430" t="str">
        <f ca="1">IF(INDIRECT(F$1&amp;"!K"&amp;$A430+12)="","",(COUNTIF(Resultat!$K$13:$AB46,INDIRECT(F$1&amp;"!$O$17"))+COUNTIF(Resultat!$K$13:$AB46,INDIRECT(F$1&amp;"!$O$18"))+COUNTIF(Resultat!$K$13:$AB46,INDIRECT(F$1&amp;"!$O$19")))*Resultat!$AA$5)</f>
        <v/>
      </c>
    </row>
    <row r="431" spans="1:6" outlineLevel="1" x14ac:dyDescent="0.2">
      <c r="A431">
        <v>35</v>
      </c>
      <c r="B431" t="str">
        <f ca="1">IF(INDIRECT(B$1&amp;"!K"&amp;$A431+12)="","",(COUNTIF(Resultat!$K$13:$AB47,INDIRECT(B$1&amp;"!$O$17"))+COUNTIF(Resultat!$K$13:$AB47,INDIRECT(B$1&amp;"!$O$18"))+COUNTIF(Resultat!$K$13:$AB47,INDIRECT(B$1&amp;"!$O$19")))*Resultat!$AA$5)</f>
        <v/>
      </c>
      <c r="C431" t="str">
        <f ca="1">IF(INDIRECT(C$1&amp;"!K"&amp;$A431+12)="","",(COUNTIF(Resultat!$K$13:$AB47,INDIRECT(C$1&amp;"!$O$17"))+COUNTIF(Resultat!$K$13:$AB47,INDIRECT(C$1&amp;"!$O$18"))+COUNTIF(Resultat!$K$13:$AB47,INDIRECT(C$1&amp;"!$O$19")))*Resultat!$AA$5)</f>
        <v/>
      </c>
      <c r="D431" t="str">
        <f ca="1">IF(INDIRECT(D$1&amp;"!K"&amp;$A431+12)="","",(COUNTIF(Resultat!$K$13:$AB47,INDIRECT(D$1&amp;"!$O$17"))+COUNTIF(Resultat!$K$13:$AB47,INDIRECT(D$1&amp;"!$O$18"))+COUNTIF(Resultat!$K$13:$AB47,INDIRECT(D$1&amp;"!$O$19")))*Resultat!$AA$5)</f>
        <v/>
      </c>
      <c r="E431" t="str">
        <f ca="1">IF(INDIRECT(E$1&amp;"!K"&amp;$A431+12)="","",(COUNTIF(Resultat!$K$13:$AB47,INDIRECT(E$1&amp;"!$O$17"))+COUNTIF(Resultat!$K$13:$AB47,INDIRECT(E$1&amp;"!$O$18"))+COUNTIF(Resultat!$K$13:$AB47,INDIRECT(E$1&amp;"!$O$19")))*Resultat!$AA$5)</f>
        <v/>
      </c>
      <c r="F431" t="str">
        <f ca="1">IF(INDIRECT(F$1&amp;"!K"&amp;$A431+12)="","",(COUNTIF(Resultat!$K$13:$AB47,INDIRECT(F$1&amp;"!$O$17"))+COUNTIF(Resultat!$K$13:$AB47,INDIRECT(F$1&amp;"!$O$18"))+COUNTIF(Resultat!$K$13:$AB47,INDIRECT(F$1&amp;"!$O$19")))*Resultat!$AA$5)</f>
        <v/>
      </c>
    </row>
    <row r="432" spans="1:6" outlineLevel="1" x14ac:dyDescent="0.2">
      <c r="A432">
        <v>36</v>
      </c>
      <c r="B432" t="str">
        <f ca="1">IF(INDIRECT(B$1&amp;"!K"&amp;$A432+12)="","",(COUNTIF(Resultat!$K$13:$AB48,INDIRECT(B$1&amp;"!$O$17"))+COUNTIF(Resultat!$K$13:$AB48,INDIRECT(B$1&amp;"!$O$18"))+COUNTIF(Resultat!$K$13:$AB48,INDIRECT(B$1&amp;"!$O$19")))*Resultat!$AA$5)</f>
        <v/>
      </c>
      <c r="C432" t="str">
        <f ca="1">IF(INDIRECT(C$1&amp;"!K"&amp;$A432+12)="","",(COUNTIF(Resultat!$K$13:$AB48,INDIRECT(C$1&amp;"!$O$17"))+COUNTIF(Resultat!$K$13:$AB48,INDIRECT(C$1&amp;"!$O$18"))+COUNTIF(Resultat!$K$13:$AB48,INDIRECT(C$1&amp;"!$O$19")))*Resultat!$AA$5)</f>
        <v/>
      </c>
      <c r="D432" t="str">
        <f ca="1">IF(INDIRECT(D$1&amp;"!K"&amp;$A432+12)="","",(COUNTIF(Resultat!$K$13:$AB48,INDIRECT(D$1&amp;"!$O$17"))+COUNTIF(Resultat!$K$13:$AB48,INDIRECT(D$1&amp;"!$O$18"))+COUNTIF(Resultat!$K$13:$AB48,INDIRECT(D$1&amp;"!$O$19")))*Resultat!$AA$5)</f>
        <v/>
      </c>
      <c r="E432" t="str">
        <f ca="1">IF(INDIRECT(E$1&amp;"!K"&amp;$A432+12)="","",(COUNTIF(Resultat!$K$13:$AB48,INDIRECT(E$1&amp;"!$O$17"))+COUNTIF(Resultat!$K$13:$AB48,INDIRECT(E$1&amp;"!$O$18"))+COUNTIF(Resultat!$K$13:$AB48,INDIRECT(E$1&amp;"!$O$19")))*Resultat!$AA$5)</f>
        <v/>
      </c>
      <c r="F432" t="str">
        <f ca="1">IF(INDIRECT(F$1&amp;"!K"&amp;$A432+12)="","",(COUNTIF(Resultat!$K$13:$AB48,INDIRECT(F$1&amp;"!$O$17"))+COUNTIF(Resultat!$K$13:$AB48,INDIRECT(F$1&amp;"!$O$18"))+COUNTIF(Resultat!$K$13:$AB48,INDIRECT(F$1&amp;"!$O$19")))*Resultat!$AA$5)</f>
        <v/>
      </c>
    </row>
    <row r="433" spans="1:6" outlineLevel="1" x14ac:dyDescent="0.2">
      <c r="A433">
        <v>37</v>
      </c>
      <c r="B433" t="str">
        <f ca="1">IF(INDIRECT(B$1&amp;"!K"&amp;$A433+12)="","",(COUNTIF(Resultat!$K$13:$AB49,INDIRECT(B$1&amp;"!$O$17"))+COUNTIF(Resultat!$K$13:$AB49,INDIRECT(B$1&amp;"!$O$18"))+COUNTIF(Resultat!$K$13:$AB49,INDIRECT(B$1&amp;"!$O$19")))*Resultat!$AA$5)</f>
        <v/>
      </c>
      <c r="C433" t="str">
        <f ca="1">IF(INDIRECT(C$1&amp;"!K"&amp;$A433+12)="","",(COUNTIF(Resultat!$K$13:$AB49,INDIRECT(C$1&amp;"!$O$17"))+COUNTIF(Resultat!$K$13:$AB49,INDIRECT(C$1&amp;"!$O$18"))+COUNTIF(Resultat!$K$13:$AB49,INDIRECT(C$1&amp;"!$O$19")))*Resultat!$AA$5)</f>
        <v/>
      </c>
      <c r="D433" t="str">
        <f ca="1">IF(INDIRECT(D$1&amp;"!K"&amp;$A433+12)="","",(COUNTIF(Resultat!$K$13:$AB49,INDIRECT(D$1&amp;"!$O$17"))+COUNTIF(Resultat!$K$13:$AB49,INDIRECT(D$1&amp;"!$O$18"))+COUNTIF(Resultat!$K$13:$AB49,INDIRECT(D$1&amp;"!$O$19")))*Resultat!$AA$5)</f>
        <v/>
      </c>
      <c r="E433" t="str">
        <f ca="1">IF(INDIRECT(E$1&amp;"!K"&amp;$A433+12)="","",(COUNTIF(Resultat!$K$13:$AB49,INDIRECT(E$1&amp;"!$O$17"))+COUNTIF(Resultat!$K$13:$AB49,INDIRECT(E$1&amp;"!$O$18"))+COUNTIF(Resultat!$K$13:$AB49,INDIRECT(E$1&amp;"!$O$19")))*Resultat!$AA$5)</f>
        <v/>
      </c>
      <c r="F433" t="str">
        <f ca="1">IF(INDIRECT(F$1&amp;"!K"&amp;$A433+12)="","",(COUNTIF(Resultat!$K$13:$AB49,INDIRECT(F$1&amp;"!$O$17"))+COUNTIF(Resultat!$K$13:$AB49,INDIRECT(F$1&amp;"!$O$18"))+COUNTIF(Resultat!$K$13:$AB49,INDIRECT(F$1&amp;"!$O$19")))*Resultat!$AA$5)</f>
        <v/>
      </c>
    </row>
    <row r="434" spans="1:6" outlineLevel="1" x14ac:dyDescent="0.2">
      <c r="A434">
        <v>38</v>
      </c>
      <c r="B434" t="str">
        <f ca="1">IF(INDIRECT(B$1&amp;"!K"&amp;$A434+12)="","",(COUNTIF(Resultat!$K$13:$AB50,INDIRECT(B$1&amp;"!$O$17"))+COUNTIF(Resultat!$K$13:$AB50,INDIRECT(B$1&amp;"!$O$18"))+COUNTIF(Resultat!$K$13:$AB50,INDIRECT(B$1&amp;"!$O$19")))*Resultat!$AA$5)</f>
        <v/>
      </c>
      <c r="C434" t="str">
        <f ca="1">IF(INDIRECT(C$1&amp;"!K"&amp;$A434+12)="","",(COUNTIF(Resultat!$K$13:$AB50,INDIRECT(C$1&amp;"!$O$17"))+COUNTIF(Resultat!$K$13:$AB50,INDIRECT(C$1&amp;"!$O$18"))+COUNTIF(Resultat!$K$13:$AB50,INDIRECT(C$1&amp;"!$O$19")))*Resultat!$AA$5)</f>
        <v/>
      </c>
      <c r="D434" t="str">
        <f ca="1">IF(INDIRECT(D$1&amp;"!K"&amp;$A434+12)="","",(COUNTIF(Resultat!$K$13:$AB50,INDIRECT(D$1&amp;"!$O$17"))+COUNTIF(Resultat!$K$13:$AB50,INDIRECT(D$1&amp;"!$O$18"))+COUNTIF(Resultat!$K$13:$AB50,INDIRECT(D$1&amp;"!$O$19")))*Resultat!$AA$5)</f>
        <v/>
      </c>
      <c r="E434" t="str">
        <f ca="1">IF(INDIRECT(E$1&amp;"!K"&amp;$A434+12)="","",(COUNTIF(Resultat!$K$13:$AB50,INDIRECT(E$1&amp;"!$O$17"))+COUNTIF(Resultat!$K$13:$AB50,INDIRECT(E$1&amp;"!$O$18"))+COUNTIF(Resultat!$K$13:$AB50,INDIRECT(E$1&amp;"!$O$19")))*Resultat!$AA$5)</f>
        <v/>
      </c>
      <c r="F434" t="str">
        <f ca="1">IF(INDIRECT(F$1&amp;"!K"&amp;$A434+12)="","",(COUNTIF(Resultat!$K$13:$AB50,INDIRECT(F$1&amp;"!$O$17"))+COUNTIF(Resultat!$K$13:$AB50,INDIRECT(F$1&amp;"!$O$18"))+COUNTIF(Resultat!$K$13:$AB50,INDIRECT(F$1&amp;"!$O$19")))*Resultat!$AA$5)</f>
        <v/>
      </c>
    </row>
    <row r="435" spans="1:6" outlineLevel="1" x14ac:dyDescent="0.2">
      <c r="A435">
        <v>39</v>
      </c>
      <c r="B435" t="str">
        <f ca="1">IF(INDIRECT(B$1&amp;"!K"&amp;$A435+12)="","",(COUNTIF(Resultat!$K$13:$AB51,INDIRECT(B$1&amp;"!$O$17"))+COUNTIF(Resultat!$K$13:$AB51,INDIRECT(B$1&amp;"!$O$18"))+COUNTIF(Resultat!$K$13:$AB51,INDIRECT(B$1&amp;"!$O$19")))*Resultat!$AA$5)</f>
        <v/>
      </c>
      <c r="C435" t="str">
        <f ca="1">IF(INDIRECT(C$1&amp;"!K"&amp;$A435+12)="","",(COUNTIF(Resultat!$K$13:$AB51,INDIRECT(C$1&amp;"!$O$17"))+COUNTIF(Resultat!$K$13:$AB51,INDIRECT(C$1&amp;"!$O$18"))+COUNTIF(Resultat!$K$13:$AB51,INDIRECT(C$1&amp;"!$O$19")))*Resultat!$AA$5)</f>
        <v/>
      </c>
      <c r="D435" t="str">
        <f ca="1">IF(INDIRECT(D$1&amp;"!K"&amp;$A435+12)="","",(COUNTIF(Resultat!$K$13:$AB51,INDIRECT(D$1&amp;"!$O$17"))+COUNTIF(Resultat!$K$13:$AB51,INDIRECT(D$1&amp;"!$O$18"))+COUNTIF(Resultat!$K$13:$AB51,INDIRECT(D$1&amp;"!$O$19")))*Resultat!$AA$5)</f>
        <v/>
      </c>
      <c r="E435" t="str">
        <f ca="1">IF(INDIRECT(E$1&amp;"!K"&amp;$A435+12)="","",(COUNTIF(Resultat!$K$13:$AB51,INDIRECT(E$1&amp;"!$O$17"))+COUNTIF(Resultat!$K$13:$AB51,INDIRECT(E$1&amp;"!$O$18"))+COUNTIF(Resultat!$K$13:$AB51,INDIRECT(E$1&amp;"!$O$19")))*Resultat!$AA$5)</f>
        <v/>
      </c>
      <c r="F435" t="str">
        <f ca="1">IF(INDIRECT(F$1&amp;"!K"&amp;$A435+12)="","",(COUNTIF(Resultat!$K$13:$AB51,INDIRECT(F$1&amp;"!$O$17"))+COUNTIF(Resultat!$K$13:$AB51,INDIRECT(F$1&amp;"!$O$18"))+COUNTIF(Resultat!$K$13:$AB51,INDIRECT(F$1&amp;"!$O$19")))*Resultat!$AA$5)</f>
        <v/>
      </c>
    </row>
    <row r="436" spans="1:6" outlineLevel="1" x14ac:dyDescent="0.2">
      <c r="A436">
        <v>40</v>
      </c>
      <c r="B436" t="str">
        <f ca="1">IF(INDIRECT(B$1&amp;"!K"&amp;$A436+12)="","",(COUNTIF(Resultat!$K$13:$AB52,INDIRECT(B$1&amp;"!$O$17"))+COUNTIF(Resultat!$K$13:$AB52,INDIRECT(B$1&amp;"!$O$18"))+COUNTIF(Resultat!$K$13:$AB52,INDIRECT(B$1&amp;"!$O$19")))*Resultat!$AA$5)</f>
        <v/>
      </c>
      <c r="C436" t="str">
        <f ca="1">IF(INDIRECT(C$1&amp;"!K"&amp;$A436+12)="","",(COUNTIF(Resultat!$K$13:$AB52,INDIRECT(C$1&amp;"!$O$17"))+COUNTIF(Resultat!$K$13:$AB52,INDIRECT(C$1&amp;"!$O$18"))+COUNTIF(Resultat!$K$13:$AB52,INDIRECT(C$1&amp;"!$O$19")))*Resultat!$AA$5)</f>
        <v/>
      </c>
      <c r="D436" t="str">
        <f ca="1">IF(INDIRECT(D$1&amp;"!K"&amp;$A436+12)="","",(COUNTIF(Resultat!$K$13:$AB52,INDIRECT(D$1&amp;"!$O$17"))+COUNTIF(Resultat!$K$13:$AB52,INDIRECT(D$1&amp;"!$O$18"))+COUNTIF(Resultat!$K$13:$AB52,INDIRECT(D$1&amp;"!$O$19")))*Resultat!$AA$5)</f>
        <v/>
      </c>
      <c r="E436" t="str">
        <f ca="1">IF(INDIRECT(E$1&amp;"!K"&amp;$A436+12)="","",(COUNTIF(Resultat!$K$13:$AB52,INDIRECT(E$1&amp;"!$O$17"))+COUNTIF(Resultat!$K$13:$AB52,INDIRECT(E$1&amp;"!$O$18"))+COUNTIF(Resultat!$K$13:$AB52,INDIRECT(E$1&amp;"!$O$19")))*Resultat!$AA$5)</f>
        <v/>
      </c>
      <c r="F436" t="str">
        <f ca="1">IF(INDIRECT(F$1&amp;"!K"&amp;$A436+12)="","",(COUNTIF(Resultat!$K$13:$AB52,INDIRECT(F$1&amp;"!$O$17"))+COUNTIF(Resultat!$K$13:$AB52,INDIRECT(F$1&amp;"!$O$18"))+COUNTIF(Resultat!$K$13:$AB52,INDIRECT(F$1&amp;"!$O$19")))*Resultat!$AA$5)</f>
        <v/>
      </c>
    </row>
    <row r="437" spans="1:6" outlineLevel="1" x14ac:dyDescent="0.2">
      <c r="A437">
        <v>41</v>
      </c>
      <c r="B437" t="str">
        <f ca="1">IF(INDIRECT(B$1&amp;"!K"&amp;$A437+12)="","",(COUNTIF(Resultat!$K$13:$AB53,INDIRECT(B$1&amp;"!$O$17"))+COUNTIF(Resultat!$K$13:$AB53,INDIRECT(B$1&amp;"!$O$18"))+COUNTIF(Resultat!$K$13:$AB53,INDIRECT(B$1&amp;"!$O$19")))*Resultat!$AA$5)</f>
        <v/>
      </c>
      <c r="C437" t="str">
        <f ca="1">IF(INDIRECT(C$1&amp;"!K"&amp;$A437+12)="","",(COUNTIF(Resultat!$K$13:$AB53,INDIRECT(C$1&amp;"!$O$17"))+COUNTIF(Resultat!$K$13:$AB53,INDIRECT(C$1&amp;"!$O$18"))+COUNTIF(Resultat!$K$13:$AB53,INDIRECT(C$1&amp;"!$O$19")))*Resultat!$AA$5)</f>
        <v/>
      </c>
      <c r="D437" t="str">
        <f ca="1">IF(INDIRECT(D$1&amp;"!K"&amp;$A437+12)="","",(COUNTIF(Resultat!$K$13:$AB53,INDIRECT(D$1&amp;"!$O$17"))+COUNTIF(Resultat!$K$13:$AB53,INDIRECT(D$1&amp;"!$O$18"))+COUNTIF(Resultat!$K$13:$AB53,INDIRECT(D$1&amp;"!$O$19")))*Resultat!$AA$5)</f>
        <v/>
      </c>
      <c r="E437" t="str">
        <f ca="1">IF(INDIRECT(E$1&amp;"!K"&amp;$A437+12)="","",(COUNTIF(Resultat!$K$13:$AB53,INDIRECT(E$1&amp;"!$O$17"))+COUNTIF(Resultat!$K$13:$AB53,INDIRECT(E$1&amp;"!$O$18"))+COUNTIF(Resultat!$K$13:$AB53,INDIRECT(E$1&amp;"!$O$19")))*Resultat!$AA$5)</f>
        <v/>
      </c>
      <c r="F437" t="str">
        <f ca="1">IF(INDIRECT(F$1&amp;"!K"&amp;$A437+12)="","",(COUNTIF(Resultat!$K$13:$AB53,INDIRECT(F$1&amp;"!$O$17"))+COUNTIF(Resultat!$K$13:$AB53,INDIRECT(F$1&amp;"!$O$18"))+COUNTIF(Resultat!$K$13:$AB53,INDIRECT(F$1&amp;"!$O$19")))*Resultat!$AA$5)</f>
        <v/>
      </c>
    </row>
    <row r="438" spans="1:6" outlineLevel="1" x14ac:dyDescent="0.2">
      <c r="A438">
        <v>42</v>
      </c>
      <c r="B438" t="str">
        <f ca="1">IF(INDIRECT(B$1&amp;"!K"&amp;$A438+12)="","",(COUNTIF(Resultat!$K$13:$AB54,INDIRECT(B$1&amp;"!$O$17"))+COUNTIF(Resultat!$K$13:$AB54,INDIRECT(B$1&amp;"!$O$18"))+COUNTIF(Resultat!$K$13:$AB54,INDIRECT(B$1&amp;"!$O$19")))*Resultat!$AA$5)</f>
        <v/>
      </c>
      <c r="C438" t="str">
        <f ca="1">IF(INDIRECT(C$1&amp;"!K"&amp;$A438+12)="","",(COUNTIF(Resultat!$K$13:$AB54,INDIRECT(C$1&amp;"!$O$17"))+COUNTIF(Resultat!$K$13:$AB54,INDIRECT(C$1&amp;"!$O$18"))+COUNTIF(Resultat!$K$13:$AB54,INDIRECT(C$1&amp;"!$O$19")))*Resultat!$AA$5)</f>
        <v/>
      </c>
      <c r="D438" t="str">
        <f ca="1">IF(INDIRECT(D$1&amp;"!K"&amp;$A438+12)="","",(COUNTIF(Resultat!$K$13:$AB54,INDIRECT(D$1&amp;"!$O$17"))+COUNTIF(Resultat!$K$13:$AB54,INDIRECT(D$1&amp;"!$O$18"))+COUNTIF(Resultat!$K$13:$AB54,INDIRECT(D$1&amp;"!$O$19")))*Resultat!$AA$5)</f>
        <v/>
      </c>
      <c r="E438" t="str">
        <f ca="1">IF(INDIRECT(E$1&amp;"!K"&amp;$A438+12)="","",(COUNTIF(Resultat!$K$13:$AB54,INDIRECT(E$1&amp;"!$O$17"))+COUNTIF(Resultat!$K$13:$AB54,INDIRECT(E$1&amp;"!$O$18"))+COUNTIF(Resultat!$K$13:$AB54,INDIRECT(E$1&amp;"!$O$19")))*Resultat!$AA$5)</f>
        <v/>
      </c>
      <c r="F438" t="str">
        <f ca="1">IF(INDIRECT(F$1&amp;"!K"&amp;$A438+12)="","",(COUNTIF(Resultat!$K$13:$AB54,INDIRECT(F$1&amp;"!$O$17"))+COUNTIF(Resultat!$K$13:$AB54,INDIRECT(F$1&amp;"!$O$18"))+COUNTIF(Resultat!$K$13:$AB54,INDIRECT(F$1&amp;"!$O$19")))*Resultat!$AA$5)</f>
        <v/>
      </c>
    </row>
    <row r="439" spans="1:6" outlineLevel="1" x14ac:dyDescent="0.2">
      <c r="A439">
        <v>43</v>
      </c>
      <c r="B439" t="str">
        <f ca="1">IF(INDIRECT(B$1&amp;"!K"&amp;$A439+12)="","",(COUNTIF(Resultat!$K$13:$AB55,INDIRECT(B$1&amp;"!$O$17"))+COUNTIF(Resultat!$K$13:$AB55,INDIRECT(B$1&amp;"!$O$18"))+COUNTIF(Resultat!$K$13:$AB55,INDIRECT(B$1&amp;"!$O$19")))*Resultat!$AA$5)</f>
        <v/>
      </c>
      <c r="C439" t="str">
        <f ca="1">IF(INDIRECT(C$1&amp;"!K"&amp;$A439+12)="","",(COUNTIF(Resultat!$K$13:$AB55,INDIRECT(C$1&amp;"!$O$17"))+COUNTIF(Resultat!$K$13:$AB55,INDIRECT(C$1&amp;"!$O$18"))+COUNTIF(Resultat!$K$13:$AB55,INDIRECT(C$1&amp;"!$O$19")))*Resultat!$AA$5)</f>
        <v/>
      </c>
      <c r="D439" t="str">
        <f ca="1">IF(INDIRECT(D$1&amp;"!K"&amp;$A439+12)="","",(COUNTIF(Resultat!$K$13:$AB55,INDIRECT(D$1&amp;"!$O$17"))+COUNTIF(Resultat!$K$13:$AB55,INDIRECT(D$1&amp;"!$O$18"))+COUNTIF(Resultat!$K$13:$AB55,INDIRECT(D$1&amp;"!$O$19")))*Resultat!$AA$5)</f>
        <v/>
      </c>
      <c r="E439" t="str">
        <f ca="1">IF(INDIRECT(E$1&amp;"!K"&amp;$A439+12)="","",(COUNTIF(Resultat!$K$13:$AB55,INDIRECT(E$1&amp;"!$O$17"))+COUNTIF(Resultat!$K$13:$AB55,INDIRECT(E$1&amp;"!$O$18"))+COUNTIF(Resultat!$K$13:$AB55,INDIRECT(E$1&amp;"!$O$19")))*Resultat!$AA$5)</f>
        <v/>
      </c>
      <c r="F439" t="str">
        <f ca="1">IF(INDIRECT(F$1&amp;"!K"&amp;$A439+12)="","",(COUNTIF(Resultat!$K$13:$AB55,INDIRECT(F$1&amp;"!$O$17"))+COUNTIF(Resultat!$K$13:$AB55,INDIRECT(F$1&amp;"!$O$18"))+COUNTIF(Resultat!$K$13:$AB55,INDIRECT(F$1&amp;"!$O$19")))*Resultat!$AA$5)</f>
        <v/>
      </c>
    </row>
    <row r="440" spans="1:6" outlineLevel="1" x14ac:dyDescent="0.2">
      <c r="A440">
        <v>44</v>
      </c>
      <c r="B440" t="str">
        <f ca="1">IF(INDIRECT(B$1&amp;"!K"&amp;$A440+12)="","",(COUNTIF(Resultat!$K$13:$AB56,INDIRECT(B$1&amp;"!$O$17"))+COUNTIF(Resultat!$K$13:$AB56,INDIRECT(B$1&amp;"!$O$18"))+COUNTIF(Resultat!$K$13:$AB56,INDIRECT(B$1&amp;"!$O$19")))*Resultat!$AA$5)</f>
        <v/>
      </c>
      <c r="C440" t="str">
        <f ca="1">IF(INDIRECT(C$1&amp;"!K"&amp;$A440+12)="","",(COUNTIF(Resultat!$K$13:$AB56,INDIRECT(C$1&amp;"!$O$17"))+COUNTIF(Resultat!$K$13:$AB56,INDIRECT(C$1&amp;"!$O$18"))+COUNTIF(Resultat!$K$13:$AB56,INDIRECT(C$1&amp;"!$O$19")))*Resultat!$AA$5)</f>
        <v/>
      </c>
      <c r="D440" t="str">
        <f ca="1">IF(INDIRECT(D$1&amp;"!K"&amp;$A440+12)="","",(COUNTIF(Resultat!$K$13:$AB56,INDIRECT(D$1&amp;"!$O$17"))+COUNTIF(Resultat!$K$13:$AB56,INDIRECT(D$1&amp;"!$O$18"))+COUNTIF(Resultat!$K$13:$AB56,INDIRECT(D$1&amp;"!$O$19")))*Resultat!$AA$5)</f>
        <v/>
      </c>
      <c r="E440" t="str">
        <f ca="1">IF(INDIRECT(E$1&amp;"!K"&amp;$A440+12)="","",(COUNTIF(Resultat!$K$13:$AB56,INDIRECT(E$1&amp;"!$O$17"))+COUNTIF(Resultat!$K$13:$AB56,INDIRECT(E$1&amp;"!$O$18"))+COUNTIF(Resultat!$K$13:$AB56,INDIRECT(E$1&amp;"!$O$19")))*Resultat!$AA$5)</f>
        <v/>
      </c>
      <c r="F440" t="str">
        <f ca="1">IF(INDIRECT(F$1&amp;"!K"&amp;$A440+12)="","",(COUNTIF(Resultat!$K$13:$AB56,INDIRECT(F$1&amp;"!$O$17"))+COUNTIF(Resultat!$K$13:$AB56,INDIRECT(F$1&amp;"!$O$18"))+COUNTIF(Resultat!$K$13:$AB56,INDIRECT(F$1&amp;"!$O$19")))*Resultat!$AA$5)</f>
        <v/>
      </c>
    </row>
    <row r="441" spans="1:6" outlineLevel="1" x14ac:dyDescent="0.2">
      <c r="A441">
        <v>45</v>
      </c>
      <c r="B441" t="str">
        <f ca="1">IF(INDIRECT(B$1&amp;"!K"&amp;$A441+12)="","",(COUNTIF(Resultat!$K$13:$AB57,INDIRECT(B$1&amp;"!$O$17"))+COUNTIF(Resultat!$K$13:$AB57,INDIRECT(B$1&amp;"!$O$18"))+COUNTIF(Resultat!$K$13:$AB57,INDIRECT(B$1&amp;"!$O$19")))*Resultat!$AA$5)</f>
        <v/>
      </c>
      <c r="C441" t="str">
        <f ca="1">IF(INDIRECT(C$1&amp;"!K"&amp;$A441+12)="","",(COUNTIF(Resultat!$K$13:$AB57,INDIRECT(C$1&amp;"!$O$17"))+COUNTIF(Resultat!$K$13:$AB57,INDIRECT(C$1&amp;"!$O$18"))+COUNTIF(Resultat!$K$13:$AB57,INDIRECT(C$1&amp;"!$O$19")))*Resultat!$AA$5)</f>
        <v/>
      </c>
      <c r="D441" t="str">
        <f ca="1">IF(INDIRECT(D$1&amp;"!K"&amp;$A441+12)="","",(COUNTIF(Resultat!$K$13:$AB57,INDIRECT(D$1&amp;"!$O$17"))+COUNTIF(Resultat!$K$13:$AB57,INDIRECT(D$1&amp;"!$O$18"))+COUNTIF(Resultat!$K$13:$AB57,INDIRECT(D$1&amp;"!$O$19")))*Resultat!$AA$5)</f>
        <v/>
      </c>
      <c r="E441" t="str">
        <f ca="1">IF(INDIRECT(E$1&amp;"!K"&amp;$A441+12)="","",(COUNTIF(Resultat!$K$13:$AB57,INDIRECT(E$1&amp;"!$O$17"))+COUNTIF(Resultat!$K$13:$AB57,INDIRECT(E$1&amp;"!$O$18"))+COUNTIF(Resultat!$K$13:$AB57,INDIRECT(E$1&amp;"!$O$19")))*Resultat!$AA$5)</f>
        <v/>
      </c>
      <c r="F441" t="str">
        <f ca="1">IF(INDIRECT(F$1&amp;"!K"&amp;$A441+12)="","",(COUNTIF(Resultat!$K$13:$AB57,INDIRECT(F$1&amp;"!$O$17"))+COUNTIF(Resultat!$K$13:$AB57,INDIRECT(F$1&amp;"!$O$18"))+COUNTIF(Resultat!$K$13:$AB57,INDIRECT(F$1&amp;"!$O$19")))*Resultat!$AA$5)</f>
        <v/>
      </c>
    </row>
    <row r="442" spans="1:6" outlineLevel="1" x14ac:dyDescent="0.2">
      <c r="A442">
        <v>46</v>
      </c>
      <c r="B442" t="str">
        <f ca="1">IF(INDIRECT(B$1&amp;"!K"&amp;$A442+12)="","",(COUNTIF(Resultat!$K$13:$AB58,INDIRECT(B$1&amp;"!$O$17"))+COUNTIF(Resultat!$K$13:$AB58,INDIRECT(B$1&amp;"!$O$18"))+COUNTIF(Resultat!$K$13:$AB58,INDIRECT(B$1&amp;"!$O$19")))*Resultat!$AA$5)</f>
        <v/>
      </c>
      <c r="C442" t="str">
        <f ca="1">IF(INDIRECT(C$1&amp;"!K"&amp;$A442+12)="","",(COUNTIF(Resultat!$K$13:$AB58,INDIRECT(C$1&amp;"!$O$17"))+COUNTIF(Resultat!$K$13:$AB58,INDIRECT(C$1&amp;"!$O$18"))+COUNTIF(Resultat!$K$13:$AB58,INDIRECT(C$1&amp;"!$O$19")))*Resultat!$AA$5)</f>
        <v/>
      </c>
      <c r="D442" t="str">
        <f ca="1">IF(INDIRECT(D$1&amp;"!K"&amp;$A442+12)="","",(COUNTIF(Resultat!$K$13:$AB58,INDIRECT(D$1&amp;"!$O$17"))+COUNTIF(Resultat!$K$13:$AB58,INDIRECT(D$1&amp;"!$O$18"))+COUNTIF(Resultat!$K$13:$AB58,INDIRECT(D$1&amp;"!$O$19")))*Resultat!$AA$5)</f>
        <v/>
      </c>
      <c r="E442" t="str">
        <f ca="1">IF(INDIRECT(E$1&amp;"!K"&amp;$A442+12)="","",(COUNTIF(Resultat!$K$13:$AB58,INDIRECT(E$1&amp;"!$O$17"))+COUNTIF(Resultat!$K$13:$AB58,INDIRECT(E$1&amp;"!$O$18"))+COUNTIF(Resultat!$K$13:$AB58,INDIRECT(E$1&amp;"!$O$19")))*Resultat!$AA$5)</f>
        <v/>
      </c>
      <c r="F442" t="str">
        <f ca="1">IF(INDIRECT(F$1&amp;"!K"&amp;$A442+12)="","",(COUNTIF(Resultat!$K$13:$AB58,INDIRECT(F$1&amp;"!$O$17"))+COUNTIF(Resultat!$K$13:$AB58,INDIRECT(F$1&amp;"!$O$18"))+COUNTIF(Resultat!$K$13:$AB58,INDIRECT(F$1&amp;"!$O$19")))*Resultat!$AA$5)</f>
        <v/>
      </c>
    </row>
    <row r="443" spans="1:6" outlineLevel="1" x14ac:dyDescent="0.2">
      <c r="A443">
        <v>47</v>
      </c>
      <c r="B443" t="str">
        <f ca="1">IF(INDIRECT(B$1&amp;"!K"&amp;$A443+12)="","",(COUNTIF(Resultat!$K$13:$AB59,INDIRECT(B$1&amp;"!$O$17"))+COUNTIF(Resultat!$K$13:$AB59,INDIRECT(B$1&amp;"!$O$18"))+COUNTIF(Resultat!$K$13:$AB59,INDIRECT(B$1&amp;"!$O$19")))*Resultat!$AA$5)</f>
        <v/>
      </c>
      <c r="C443" t="str">
        <f ca="1">IF(INDIRECT(C$1&amp;"!K"&amp;$A443+12)="","",(COUNTIF(Resultat!$K$13:$AB59,INDIRECT(C$1&amp;"!$O$17"))+COUNTIF(Resultat!$K$13:$AB59,INDIRECT(C$1&amp;"!$O$18"))+COUNTIF(Resultat!$K$13:$AB59,INDIRECT(C$1&amp;"!$O$19")))*Resultat!$AA$5)</f>
        <v/>
      </c>
      <c r="D443" t="str">
        <f ca="1">IF(INDIRECT(D$1&amp;"!K"&amp;$A443+12)="","",(COUNTIF(Resultat!$K$13:$AB59,INDIRECT(D$1&amp;"!$O$17"))+COUNTIF(Resultat!$K$13:$AB59,INDIRECT(D$1&amp;"!$O$18"))+COUNTIF(Resultat!$K$13:$AB59,INDIRECT(D$1&amp;"!$O$19")))*Resultat!$AA$5)</f>
        <v/>
      </c>
      <c r="E443" t="str">
        <f ca="1">IF(INDIRECT(E$1&amp;"!K"&amp;$A443+12)="","",(COUNTIF(Resultat!$K$13:$AB59,INDIRECT(E$1&amp;"!$O$17"))+COUNTIF(Resultat!$K$13:$AB59,INDIRECT(E$1&amp;"!$O$18"))+COUNTIF(Resultat!$K$13:$AB59,INDIRECT(E$1&amp;"!$O$19")))*Resultat!$AA$5)</f>
        <v/>
      </c>
      <c r="F443" t="str">
        <f ca="1">IF(INDIRECT(F$1&amp;"!K"&amp;$A443+12)="","",(COUNTIF(Resultat!$K$13:$AB59,INDIRECT(F$1&amp;"!$O$17"))+COUNTIF(Resultat!$K$13:$AB59,INDIRECT(F$1&amp;"!$O$18"))+COUNTIF(Resultat!$K$13:$AB59,INDIRECT(F$1&amp;"!$O$19")))*Resultat!$AA$5)</f>
        <v/>
      </c>
    </row>
    <row r="444" spans="1:6" outlineLevel="1" x14ac:dyDescent="0.2">
      <c r="A444">
        <v>48</v>
      </c>
      <c r="B444" t="str">
        <f ca="1">IF(INDIRECT(B$1&amp;"!K"&amp;$A444+12)="","",(COUNTIF(Resultat!$K$13:$AB60,INDIRECT(B$1&amp;"!$O$17"))+COUNTIF(Resultat!$K$13:$AB60,INDIRECT(B$1&amp;"!$O$18"))+COUNTIF(Resultat!$K$13:$AB60,INDIRECT(B$1&amp;"!$O$19")))*Resultat!$AA$5)</f>
        <v/>
      </c>
      <c r="C444" t="str">
        <f ca="1">IF(INDIRECT(C$1&amp;"!K"&amp;$A444+12)="","",(COUNTIF(Resultat!$K$13:$AB60,INDIRECT(C$1&amp;"!$O$17"))+COUNTIF(Resultat!$K$13:$AB60,INDIRECT(C$1&amp;"!$O$18"))+COUNTIF(Resultat!$K$13:$AB60,INDIRECT(C$1&amp;"!$O$19")))*Resultat!$AA$5)</f>
        <v/>
      </c>
      <c r="D444" t="str">
        <f ca="1">IF(INDIRECT(D$1&amp;"!K"&amp;$A444+12)="","",(COUNTIF(Resultat!$K$13:$AB60,INDIRECT(D$1&amp;"!$O$17"))+COUNTIF(Resultat!$K$13:$AB60,INDIRECT(D$1&amp;"!$O$18"))+COUNTIF(Resultat!$K$13:$AB60,INDIRECT(D$1&amp;"!$O$19")))*Resultat!$AA$5)</f>
        <v/>
      </c>
      <c r="E444" t="str">
        <f ca="1">IF(INDIRECT(E$1&amp;"!K"&amp;$A444+12)="","",(COUNTIF(Resultat!$K$13:$AB60,INDIRECT(E$1&amp;"!$O$17"))+COUNTIF(Resultat!$K$13:$AB60,INDIRECT(E$1&amp;"!$O$18"))+COUNTIF(Resultat!$K$13:$AB60,INDIRECT(E$1&amp;"!$O$19")))*Resultat!$AA$5)</f>
        <v/>
      </c>
      <c r="F444" t="str">
        <f ca="1">IF(INDIRECT(F$1&amp;"!K"&amp;$A444+12)="","",(COUNTIF(Resultat!$K$13:$AB60,INDIRECT(F$1&amp;"!$O$17"))+COUNTIF(Resultat!$K$13:$AB60,INDIRECT(F$1&amp;"!$O$18"))+COUNTIF(Resultat!$K$13:$AB60,INDIRECT(F$1&amp;"!$O$19")))*Resultat!$AA$5)</f>
        <v/>
      </c>
    </row>
    <row r="445" spans="1:6" outlineLevel="1" x14ac:dyDescent="0.2">
      <c r="A445">
        <v>49</v>
      </c>
      <c r="B445" t="str">
        <f ca="1">IF(INDIRECT(B$1&amp;"!K"&amp;$A445+12)="","",(COUNTIF(Resultat!$K$13:$AB61,INDIRECT(B$1&amp;"!$O$17"))+COUNTIF(Resultat!$K$13:$AB61,INDIRECT(B$1&amp;"!$O$18"))+COUNTIF(Resultat!$K$13:$AB61,INDIRECT(B$1&amp;"!$O$19")))*Resultat!$AA$5)</f>
        <v/>
      </c>
      <c r="C445" t="str">
        <f ca="1">IF(INDIRECT(C$1&amp;"!K"&amp;$A445+12)="","",(COUNTIF(Resultat!$K$13:$AB61,INDIRECT(C$1&amp;"!$O$17"))+COUNTIF(Resultat!$K$13:$AB61,INDIRECT(C$1&amp;"!$O$18"))+COUNTIF(Resultat!$K$13:$AB61,INDIRECT(C$1&amp;"!$O$19")))*Resultat!$AA$5)</f>
        <v/>
      </c>
      <c r="D445" t="str">
        <f ca="1">IF(INDIRECT(D$1&amp;"!K"&amp;$A445+12)="","",(COUNTIF(Resultat!$K$13:$AB61,INDIRECT(D$1&amp;"!$O$17"))+COUNTIF(Resultat!$K$13:$AB61,INDIRECT(D$1&amp;"!$O$18"))+COUNTIF(Resultat!$K$13:$AB61,INDIRECT(D$1&amp;"!$O$19")))*Resultat!$AA$5)</f>
        <v/>
      </c>
      <c r="E445" t="str">
        <f ca="1">IF(INDIRECT(E$1&amp;"!K"&amp;$A445+12)="","",(COUNTIF(Resultat!$K$13:$AB61,INDIRECT(E$1&amp;"!$O$17"))+COUNTIF(Resultat!$K$13:$AB61,INDIRECT(E$1&amp;"!$O$18"))+COUNTIF(Resultat!$K$13:$AB61,INDIRECT(E$1&amp;"!$O$19")))*Resultat!$AA$5)</f>
        <v/>
      </c>
      <c r="F445" t="str">
        <f ca="1">IF(INDIRECT(F$1&amp;"!K"&amp;$A445+12)="","",(COUNTIF(Resultat!$K$13:$AB61,INDIRECT(F$1&amp;"!$O$17"))+COUNTIF(Resultat!$K$13:$AB61,INDIRECT(F$1&amp;"!$O$18"))+COUNTIF(Resultat!$K$13:$AB61,INDIRECT(F$1&amp;"!$O$19")))*Resultat!$AA$5)</f>
        <v/>
      </c>
    </row>
    <row r="446" spans="1:6" outlineLevel="1" x14ac:dyDescent="0.2">
      <c r="A446">
        <v>50</v>
      </c>
      <c r="B446" t="str">
        <f ca="1">IF(INDIRECT(B$1&amp;"!K"&amp;$A446+12)="","",(COUNTIF(Resultat!$K$13:$AB62,INDIRECT(B$1&amp;"!$O$17"))+COUNTIF(Resultat!$K$13:$AB62,INDIRECT(B$1&amp;"!$O$18"))+COUNTIF(Resultat!$K$13:$AB62,INDIRECT(B$1&amp;"!$O$19")))*Resultat!$AA$5)</f>
        <v/>
      </c>
      <c r="C446" t="str">
        <f ca="1">IF(INDIRECT(C$1&amp;"!K"&amp;$A446+12)="","",(COUNTIF(Resultat!$K$13:$AB62,INDIRECT(C$1&amp;"!$O$17"))+COUNTIF(Resultat!$K$13:$AB62,INDIRECT(C$1&amp;"!$O$18"))+COUNTIF(Resultat!$K$13:$AB62,INDIRECT(C$1&amp;"!$O$19")))*Resultat!$AA$5)</f>
        <v/>
      </c>
      <c r="D446" t="str">
        <f ca="1">IF(INDIRECT(D$1&amp;"!K"&amp;$A446+12)="","",(COUNTIF(Resultat!$K$13:$AB62,INDIRECT(D$1&amp;"!$O$17"))+COUNTIF(Resultat!$K$13:$AB62,INDIRECT(D$1&amp;"!$O$18"))+COUNTIF(Resultat!$K$13:$AB62,INDIRECT(D$1&amp;"!$O$19")))*Resultat!$AA$5)</f>
        <v/>
      </c>
      <c r="E446" t="str">
        <f ca="1">IF(INDIRECT(E$1&amp;"!K"&amp;$A446+12)="","",(COUNTIF(Resultat!$K$13:$AB62,INDIRECT(E$1&amp;"!$O$17"))+COUNTIF(Resultat!$K$13:$AB62,INDIRECT(E$1&amp;"!$O$18"))+COUNTIF(Resultat!$K$13:$AB62,INDIRECT(E$1&amp;"!$O$19")))*Resultat!$AA$5)</f>
        <v/>
      </c>
      <c r="F446" t="str">
        <f ca="1">IF(INDIRECT(F$1&amp;"!K"&amp;$A446+12)="","",(COUNTIF(Resultat!$K$13:$AB62,INDIRECT(F$1&amp;"!$O$17"))+COUNTIF(Resultat!$K$13:$AB62,INDIRECT(F$1&amp;"!$O$18"))+COUNTIF(Resultat!$K$13:$AB62,INDIRECT(F$1&amp;"!$O$19")))*Resultat!$AA$5)</f>
        <v/>
      </c>
    </row>
    <row r="447" spans="1:6" outlineLevel="1" x14ac:dyDescent="0.2">
      <c r="A447">
        <v>51</v>
      </c>
      <c r="B447" t="str">
        <f ca="1">IF(INDIRECT(B$1&amp;"!K"&amp;$A447+12)="","",(COUNTIF(Resultat!$K$13:$AB63,INDIRECT(B$1&amp;"!$O$17"))+COUNTIF(Resultat!$K$13:$AB63,INDIRECT(B$1&amp;"!$O$18"))+COUNTIF(Resultat!$K$13:$AB63,INDIRECT(B$1&amp;"!$O$19")))*Resultat!$AA$5)</f>
        <v/>
      </c>
      <c r="C447" t="str">
        <f ca="1">IF(INDIRECT(C$1&amp;"!K"&amp;$A447+12)="","",(COUNTIF(Resultat!$K$13:$AB63,INDIRECT(C$1&amp;"!$O$17"))+COUNTIF(Resultat!$K$13:$AB63,INDIRECT(C$1&amp;"!$O$18"))+COUNTIF(Resultat!$K$13:$AB63,INDIRECT(C$1&amp;"!$O$19")))*Resultat!$AA$5)</f>
        <v/>
      </c>
      <c r="D447" t="str">
        <f ca="1">IF(INDIRECT(D$1&amp;"!K"&amp;$A447+12)="","",(COUNTIF(Resultat!$K$13:$AB63,INDIRECT(D$1&amp;"!$O$17"))+COUNTIF(Resultat!$K$13:$AB63,INDIRECT(D$1&amp;"!$O$18"))+COUNTIF(Resultat!$K$13:$AB63,INDIRECT(D$1&amp;"!$O$19")))*Resultat!$AA$5)</f>
        <v/>
      </c>
      <c r="E447" t="str">
        <f ca="1">IF(INDIRECT(E$1&amp;"!K"&amp;$A447+12)="","",(COUNTIF(Resultat!$K$13:$AB63,INDIRECT(E$1&amp;"!$O$17"))+COUNTIF(Resultat!$K$13:$AB63,INDIRECT(E$1&amp;"!$O$18"))+COUNTIF(Resultat!$K$13:$AB63,INDIRECT(E$1&amp;"!$O$19")))*Resultat!$AA$5)</f>
        <v/>
      </c>
      <c r="F447" t="str">
        <f ca="1">IF(INDIRECT(F$1&amp;"!K"&amp;$A447+12)="","",(COUNTIF(Resultat!$K$13:$AB63,INDIRECT(F$1&amp;"!$O$17"))+COUNTIF(Resultat!$K$13:$AB63,INDIRECT(F$1&amp;"!$O$18"))+COUNTIF(Resultat!$K$13:$AB63,INDIRECT(F$1&amp;"!$O$19")))*Resultat!$AA$5)</f>
        <v/>
      </c>
    </row>
    <row r="450" spans="1:9" x14ac:dyDescent="0.2">
      <c r="B450" s="74" t="s">
        <v>107</v>
      </c>
    </row>
    <row r="451" spans="1:9" outlineLevel="1" x14ac:dyDescent="0.2">
      <c r="A451" t="s">
        <v>102</v>
      </c>
      <c r="B451" s="73" t="str">
        <f>B$1</f>
        <v>Jocke</v>
      </c>
      <c r="C451" s="73" t="str">
        <f t="shared" ref="C451:F451" si="127">C$1</f>
        <v>Markus</v>
      </c>
      <c r="D451" s="73" t="str">
        <f t="shared" si="127"/>
        <v>Rickard</v>
      </c>
      <c r="E451" s="73" t="str">
        <f t="shared" si="127"/>
        <v>Tomas</v>
      </c>
      <c r="F451" s="73" t="str">
        <f t="shared" si="127"/>
        <v>Kalle</v>
      </c>
      <c r="G451" s="73"/>
      <c r="H451" s="73"/>
      <c r="I451" s="73"/>
    </row>
    <row r="452" spans="1:9" outlineLevel="1" x14ac:dyDescent="0.2">
      <c r="A452">
        <v>1</v>
      </c>
      <c r="B452">
        <f ca="1">IF(INDIRECT(B$1&amp;"!$K"&amp;$A452+12)="","",Resultat!$AA$6*(SUMPRODUCT((Resultat!$E$13:$E13=INDIRECT(B$1&amp;"!$O$16"))*(Resultat!$J$13:$J13=0)))+Resultat!$AA$6*(SUMPRODUCT((Resultat!$G$13:$G13=INDIRECT(B$1&amp;"!$O$16"))*(Resultat!$H$13:$H13=0))))</f>
        <v>0</v>
      </c>
      <c r="C452">
        <f ca="1">IF(INDIRECT(C$1&amp;"!$K"&amp;$A452+12)="","",Resultat!$AA$6*(SUMPRODUCT((Resultat!$E$13:$E13=INDIRECT(C$1&amp;"!$O$16"))*(Resultat!$J$13:$J13=0)))+Resultat!$AA$6*(SUMPRODUCT((Resultat!$G$13:$G13=INDIRECT(C$1&amp;"!$O$16"))*(Resultat!$H$13:$H13=0))))</f>
        <v>0</v>
      </c>
      <c r="D452">
        <f ca="1">IF(INDIRECT(D$1&amp;"!$K"&amp;$A452+12)="","",Resultat!$AA$6*(SUMPRODUCT((Resultat!$E$13:$E13=INDIRECT(D$1&amp;"!$O$16"))*(Resultat!$J$13:$J13=0)))+Resultat!$AA$6*(SUMPRODUCT((Resultat!$G$13:$G13=INDIRECT(D$1&amp;"!$O$16"))*(Resultat!$H$13:$H13=0))))</f>
        <v>0</v>
      </c>
      <c r="E452">
        <f ca="1">IF(INDIRECT(E$1&amp;"!$K"&amp;$A452+12)="","",Resultat!$AA$6*(SUMPRODUCT((Resultat!$E$13:$E13=INDIRECT(E$1&amp;"!$O$16"))*(Resultat!$J$13:$J13=0)))+Resultat!$AA$6*(SUMPRODUCT((Resultat!$G$13:$G13=INDIRECT(E$1&amp;"!$O$16"))*(Resultat!$H$13:$H13=0))))</f>
        <v>0</v>
      </c>
      <c r="F452">
        <f ca="1">IF(INDIRECT(F$1&amp;"!$K"&amp;$A452+12)="","",Resultat!$AA$6*(SUMPRODUCT((Resultat!$E$13:$E13=INDIRECT(F$1&amp;"!$O$16"))*(Resultat!$J$13:$J13=0)))+Resultat!$AA$6*(SUMPRODUCT((Resultat!$G$13:$G13=INDIRECT(F$1&amp;"!$O$16"))*(Resultat!$H$13:$H13=0))))</f>
        <v>0</v>
      </c>
    </row>
    <row r="453" spans="1:9" outlineLevel="1" x14ac:dyDescent="0.2">
      <c r="A453">
        <v>2</v>
      </c>
      <c r="B453">
        <f ca="1">IF(INDIRECT(B$1&amp;"!$K"&amp;$A453+12)="","",Resultat!$AA$6*(SUMPRODUCT((Resultat!$E$13:$E14=INDIRECT(B$1&amp;"!$O$16"))*(Resultat!$J$13:$J14=0)))+Resultat!$AA$6*(SUMPRODUCT((Resultat!$G$13:$G14=INDIRECT(B$1&amp;"!$O$16"))*(Resultat!$H$13:$H14=0))))</f>
        <v>2</v>
      </c>
      <c r="C453">
        <f ca="1">IF(INDIRECT(C$1&amp;"!$K"&amp;$A453+12)="","",Resultat!$AA$6*(SUMPRODUCT((Resultat!$E$13:$E14=INDIRECT(C$1&amp;"!$O$16"))*(Resultat!$J$13:$J14=0)))+Resultat!$AA$6*(SUMPRODUCT((Resultat!$G$13:$G14=INDIRECT(C$1&amp;"!$O$16"))*(Resultat!$H$13:$H14=0))))</f>
        <v>0</v>
      </c>
      <c r="D453">
        <f ca="1">IF(INDIRECT(D$1&amp;"!$K"&amp;$A453+12)="","",Resultat!$AA$6*(SUMPRODUCT((Resultat!$E$13:$E14=INDIRECT(D$1&amp;"!$O$16"))*(Resultat!$J$13:$J14=0)))+Resultat!$AA$6*(SUMPRODUCT((Resultat!$G$13:$G14=INDIRECT(D$1&amp;"!$O$16"))*(Resultat!$H$13:$H14=0))))</f>
        <v>0</v>
      </c>
      <c r="E453">
        <f ca="1">IF(INDIRECT(E$1&amp;"!$K"&amp;$A453+12)="","",Resultat!$AA$6*(SUMPRODUCT((Resultat!$E$13:$E14=INDIRECT(E$1&amp;"!$O$16"))*(Resultat!$J$13:$J14=0)))+Resultat!$AA$6*(SUMPRODUCT((Resultat!$G$13:$G14=INDIRECT(E$1&amp;"!$O$16"))*(Resultat!$H$13:$H14=0))))</f>
        <v>0</v>
      </c>
      <c r="F453">
        <f ca="1">IF(INDIRECT(F$1&amp;"!$K"&amp;$A453+12)="","",Resultat!$AA$6*(SUMPRODUCT((Resultat!$E$13:$E14=INDIRECT(F$1&amp;"!$O$16"))*(Resultat!$J$13:$J14=0)))+Resultat!$AA$6*(SUMPRODUCT((Resultat!$G$13:$G14=INDIRECT(F$1&amp;"!$O$16"))*(Resultat!$H$13:$H14=0))))</f>
        <v>0</v>
      </c>
    </row>
    <row r="454" spans="1:9" outlineLevel="1" x14ac:dyDescent="0.2">
      <c r="A454">
        <v>3</v>
      </c>
      <c r="B454">
        <f ca="1">IF(INDIRECT(B$1&amp;"!$K"&amp;$A454+12)="","",Resultat!$AA$6*(SUMPRODUCT((Resultat!$E$13:$E15=INDIRECT(B$1&amp;"!$O$16"))*(Resultat!$J$13:$J15=0)))+Resultat!$AA$6*(SUMPRODUCT((Resultat!$G$13:$G15=INDIRECT(B$1&amp;"!$O$16"))*(Resultat!$H$13:$H15=0))))</f>
        <v>2</v>
      </c>
      <c r="C454">
        <f ca="1">IF(INDIRECT(C$1&amp;"!$K"&amp;$A454+12)="","",Resultat!$AA$6*(SUMPRODUCT((Resultat!$E$13:$E15=INDIRECT(C$1&amp;"!$O$16"))*(Resultat!$J$13:$J15=0)))+Resultat!$AA$6*(SUMPRODUCT((Resultat!$G$13:$G15=INDIRECT(C$1&amp;"!$O$16"))*(Resultat!$H$13:$H15=0))))</f>
        <v>0</v>
      </c>
      <c r="D454">
        <f ca="1">IF(INDIRECT(D$1&amp;"!$K"&amp;$A454+12)="","",Resultat!$AA$6*(SUMPRODUCT((Resultat!$E$13:$E15=INDIRECT(D$1&amp;"!$O$16"))*(Resultat!$J$13:$J15=0)))+Resultat!$AA$6*(SUMPRODUCT((Resultat!$G$13:$G15=INDIRECT(D$1&amp;"!$O$16"))*(Resultat!$H$13:$H15=0))))</f>
        <v>0</v>
      </c>
      <c r="E454">
        <f ca="1">IF(INDIRECT(E$1&amp;"!$K"&amp;$A454+12)="","",Resultat!$AA$6*(SUMPRODUCT((Resultat!$E$13:$E15=INDIRECT(E$1&amp;"!$O$16"))*(Resultat!$J$13:$J15=0)))+Resultat!$AA$6*(SUMPRODUCT((Resultat!$G$13:$G15=INDIRECT(E$1&amp;"!$O$16"))*(Resultat!$H$13:$H15=0))))</f>
        <v>0</v>
      </c>
      <c r="F454">
        <f ca="1">IF(INDIRECT(F$1&amp;"!$K"&amp;$A454+12)="","",Resultat!$AA$6*(SUMPRODUCT((Resultat!$E$13:$E15=INDIRECT(F$1&amp;"!$O$16"))*(Resultat!$J$13:$J15=0)))+Resultat!$AA$6*(SUMPRODUCT((Resultat!$G$13:$G15=INDIRECT(F$1&amp;"!$O$16"))*(Resultat!$H$13:$H15=0))))</f>
        <v>0</v>
      </c>
    </row>
    <row r="455" spans="1:9" outlineLevel="1" x14ac:dyDescent="0.2">
      <c r="A455">
        <v>4</v>
      </c>
      <c r="B455">
        <f ca="1">IF(INDIRECT(B$1&amp;"!$K"&amp;$A455+12)="","",Resultat!$AA$6*(SUMPRODUCT((Resultat!$E$13:$E16=INDIRECT(B$1&amp;"!$O$16"))*(Resultat!$J$13:$J16=0)))+Resultat!$AA$6*(SUMPRODUCT((Resultat!$G$13:$G16=INDIRECT(B$1&amp;"!$O$16"))*(Resultat!$H$13:$H16=0))))</f>
        <v>2</v>
      </c>
      <c r="C455">
        <f ca="1">IF(INDIRECT(C$1&amp;"!$K"&amp;$A455+12)="","",Resultat!$AA$6*(SUMPRODUCT((Resultat!$E$13:$E16=INDIRECT(C$1&amp;"!$O$16"))*(Resultat!$J$13:$J16=0)))+Resultat!$AA$6*(SUMPRODUCT((Resultat!$G$13:$G16=INDIRECT(C$1&amp;"!$O$16"))*(Resultat!$H$13:$H16=0))))</f>
        <v>2</v>
      </c>
      <c r="D455">
        <f ca="1">IF(INDIRECT(D$1&amp;"!$K"&amp;$A455+12)="","",Resultat!$AA$6*(SUMPRODUCT((Resultat!$E$13:$E16=INDIRECT(D$1&amp;"!$O$16"))*(Resultat!$J$13:$J16=0)))+Resultat!$AA$6*(SUMPRODUCT((Resultat!$G$13:$G16=INDIRECT(D$1&amp;"!$O$16"))*(Resultat!$H$13:$H16=0))))</f>
        <v>2</v>
      </c>
      <c r="E455">
        <f ca="1">IF(INDIRECT(E$1&amp;"!$K"&amp;$A455+12)="","",Resultat!$AA$6*(SUMPRODUCT((Resultat!$E$13:$E16=INDIRECT(E$1&amp;"!$O$16"))*(Resultat!$J$13:$J16=0)))+Resultat!$AA$6*(SUMPRODUCT((Resultat!$G$13:$G16=INDIRECT(E$1&amp;"!$O$16"))*(Resultat!$H$13:$H16=0))))</f>
        <v>0</v>
      </c>
      <c r="F455">
        <f ca="1">IF(INDIRECT(F$1&amp;"!$K"&amp;$A455+12)="","",Resultat!$AA$6*(SUMPRODUCT((Resultat!$E$13:$E16=INDIRECT(F$1&amp;"!$O$16"))*(Resultat!$J$13:$J16=0)))+Resultat!$AA$6*(SUMPRODUCT((Resultat!$G$13:$G16=INDIRECT(F$1&amp;"!$O$16"))*(Resultat!$H$13:$H16=0))))</f>
        <v>0</v>
      </c>
    </row>
    <row r="456" spans="1:9" outlineLevel="1" x14ac:dyDescent="0.2">
      <c r="A456">
        <v>5</v>
      </c>
      <c r="B456">
        <f ca="1">IF(INDIRECT(B$1&amp;"!$K"&amp;$A456+12)="","",Resultat!$AA$6*(SUMPRODUCT((Resultat!$E$13:$E17=INDIRECT(B$1&amp;"!$O$16"))*(Resultat!$J$13:$J17=0)))+Resultat!$AA$6*(SUMPRODUCT((Resultat!$G$13:$G17=INDIRECT(B$1&amp;"!$O$16"))*(Resultat!$H$13:$H17=0))))</f>
        <v>2</v>
      </c>
      <c r="C456">
        <f ca="1">IF(INDIRECT(C$1&amp;"!$K"&amp;$A456+12)="","",Resultat!$AA$6*(SUMPRODUCT((Resultat!$E$13:$E17=INDIRECT(C$1&amp;"!$O$16"))*(Resultat!$J$13:$J17=0)))+Resultat!$AA$6*(SUMPRODUCT((Resultat!$G$13:$G17=INDIRECT(C$1&amp;"!$O$16"))*(Resultat!$H$13:$H17=0))))</f>
        <v>2</v>
      </c>
      <c r="D456">
        <f ca="1">IF(INDIRECT(D$1&amp;"!$K"&amp;$A456+12)="","",Resultat!$AA$6*(SUMPRODUCT((Resultat!$E$13:$E17=INDIRECT(D$1&amp;"!$O$16"))*(Resultat!$J$13:$J17=0)))+Resultat!$AA$6*(SUMPRODUCT((Resultat!$G$13:$G17=INDIRECT(D$1&amp;"!$O$16"))*(Resultat!$H$13:$H17=0))))</f>
        <v>2</v>
      </c>
      <c r="E456">
        <f ca="1">IF(INDIRECT(E$1&amp;"!$K"&amp;$A456+12)="","",Resultat!$AA$6*(SUMPRODUCT((Resultat!$E$13:$E17=INDIRECT(E$1&amp;"!$O$16"))*(Resultat!$J$13:$J17=0)))+Resultat!$AA$6*(SUMPRODUCT((Resultat!$G$13:$G17=INDIRECT(E$1&amp;"!$O$16"))*(Resultat!$H$13:$H17=0))))</f>
        <v>0</v>
      </c>
      <c r="F456">
        <f ca="1">IF(INDIRECT(F$1&amp;"!$K"&amp;$A456+12)="","",Resultat!$AA$6*(SUMPRODUCT((Resultat!$E$13:$E17=INDIRECT(F$1&amp;"!$O$16"))*(Resultat!$J$13:$J17=0)))+Resultat!$AA$6*(SUMPRODUCT((Resultat!$G$13:$G17=INDIRECT(F$1&amp;"!$O$16"))*(Resultat!$H$13:$H17=0))))</f>
        <v>0</v>
      </c>
    </row>
    <row r="457" spans="1:9" outlineLevel="1" x14ac:dyDescent="0.2">
      <c r="A457">
        <v>6</v>
      </c>
      <c r="B457">
        <f ca="1">IF(INDIRECT(B$1&amp;"!$K"&amp;$A457+12)="","",Resultat!$AA$6*(SUMPRODUCT((Resultat!$E$13:$E18=INDIRECT(B$1&amp;"!$O$16"))*(Resultat!$J$13:$J18=0)))+Resultat!$AA$6*(SUMPRODUCT((Resultat!$G$13:$G18=INDIRECT(B$1&amp;"!$O$16"))*(Resultat!$H$13:$H18=0))))</f>
        <v>2</v>
      </c>
      <c r="C457">
        <f ca="1">IF(INDIRECT(C$1&amp;"!$K"&amp;$A457+12)="","",Resultat!$AA$6*(SUMPRODUCT((Resultat!$E$13:$E18=INDIRECT(C$1&amp;"!$O$16"))*(Resultat!$J$13:$J18=0)))+Resultat!$AA$6*(SUMPRODUCT((Resultat!$G$13:$G18=INDIRECT(C$1&amp;"!$O$16"))*(Resultat!$H$13:$H18=0))))</f>
        <v>2</v>
      </c>
      <c r="D457">
        <f ca="1">IF(INDIRECT(D$1&amp;"!$K"&amp;$A457+12)="","",Resultat!$AA$6*(SUMPRODUCT((Resultat!$E$13:$E18=INDIRECT(D$1&amp;"!$O$16"))*(Resultat!$J$13:$J18=0)))+Resultat!$AA$6*(SUMPRODUCT((Resultat!$G$13:$G18=INDIRECT(D$1&amp;"!$O$16"))*(Resultat!$H$13:$H18=0))))</f>
        <v>2</v>
      </c>
      <c r="E457">
        <f ca="1">IF(INDIRECT(E$1&amp;"!$K"&amp;$A457+12)="","",Resultat!$AA$6*(SUMPRODUCT((Resultat!$E$13:$E18=INDIRECT(E$1&amp;"!$O$16"))*(Resultat!$J$13:$J18=0)))+Resultat!$AA$6*(SUMPRODUCT((Resultat!$G$13:$G18=INDIRECT(E$1&amp;"!$O$16"))*(Resultat!$H$13:$H18=0))))</f>
        <v>0</v>
      </c>
      <c r="F457">
        <f ca="1">IF(INDIRECT(F$1&amp;"!$K"&amp;$A457+12)="","",Resultat!$AA$6*(SUMPRODUCT((Resultat!$E$13:$E18=INDIRECT(F$1&amp;"!$O$16"))*(Resultat!$J$13:$J18=0)))+Resultat!$AA$6*(SUMPRODUCT((Resultat!$G$13:$G18=INDIRECT(F$1&amp;"!$O$16"))*(Resultat!$H$13:$H18=0))))</f>
        <v>0</v>
      </c>
    </row>
    <row r="458" spans="1:9" outlineLevel="1" x14ac:dyDescent="0.2">
      <c r="A458">
        <v>7</v>
      </c>
      <c r="B458">
        <f ca="1">IF(INDIRECT(B$1&amp;"!$K"&amp;$A458+12)="","",Resultat!$AA$6*(SUMPRODUCT((Resultat!$E$13:$E19=INDIRECT(B$1&amp;"!$O$16"))*(Resultat!$J$13:$J19=0)))+Resultat!$AA$6*(SUMPRODUCT((Resultat!$G$13:$G19=INDIRECT(B$1&amp;"!$O$16"))*(Resultat!$H$13:$H19=0))))</f>
        <v>2</v>
      </c>
      <c r="C458">
        <f ca="1">IF(INDIRECT(C$1&amp;"!$K"&amp;$A458+12)="","",Resultat!$AA$6*(SUMPRODUCT((Resultat!$E$13:$E19=INDIRECT(C$1&amp;"!$O$16"))*(Resultat!$J$13:$J19=0)))+Resultat!$AA$6*(SUMPRODUCT((Resultat!$G$13:$G19=INDIRECT(C$1&amp;"!$O$16"))*(Resultat!$H$13:$H19=0))))</f>
        <v>2</v>
      </c>
      <c r="D458">
        <f ca="1">IF(INDIRECT(D$1&amp;"!$K"&amp;$A458+12)="","",Resultat!$AA$6*(SUMPRODUCT((Resultat!$E$13:$E19=INDIRECT(D$1&amp;"!$O$16"))*(Resultat!$J$13:$J19=0)))+Resultat!$AA$6*(SUMPRODUCT((Resultat!$G$13:$G19=INDIRECT(D$1&amp;"!$O$16"))*(Resultat!$H$13:$H19=0))))</f>
        <v>2</v>
      </c>
      <c r="E458">
        <f ca="1">IF(INDIRECT(E$1&amp;"!$K"&amp;$A458+12)="","",Resultat!$AA$6*(SUMPRODUCT((Resultat!$E$13:$E19=INDIRECT(E$1&amp;"!$O$16"))*(Resultat!$J$13:$J19=0)))+Resultat!$AA$6*(SUMPRODUCT((Resultat!$G$13:$G19=INDIRECT(E$1&amp;"!$O$16"))*(Resultat!$H$13:$H19=0))))</f>
        <v>0</v>
      </c>
      <c r="F458">
        <f ca="1">IF(INDIRECT(F$1&amp;"!$K"&amp;$A458+12)="","",Resultat!$AA$6*(SUMPRODUCT((Resultat!$E$13:$E19=INDIRECT(F$1&amp;"!$O$16"))*(Resultat!$J$13:$J19=0)))+Resultat!$AA$6*(SUMPRODUCT((Resultat!$G$13:$G19=INDIRECT(F$1&amp;"!$O$16"))*(Resultat!$H$13:$H19=0))))</f>
        <v>0</v>
      </c>
    </row>
    <row r="459" spans="1:9" outlineLevel="1" x14ac:dyDescent="0.2">
      <c r="A459">
        <v>8</v>
      </c>
      <c r="B459">
        <f ca="1">IF(INDIRECT(B$1&amp;"!$K"&amp;$A459+12)="","",Resultat!$AA$6*(SUMPRODUCT((Resultat!$E$13:$E20=INDIRECT(B$1&amp;"!$O$16"))*(Resultat!$J$13:$J20=0)))+Resultat!$AA$6*(SUMPRODUCT((Resultat!$G$13:$G20=INDIRECT(B$1&amp;"!$O$16"))*(Resultat!$H$13:$H20=0))))</f>
        <v>2</v>
      </c>
      <c r="C459">
        <f ca="1">IF(INDIRECT(C$1&amp;"!$K"&amp;$A459+12)="","",Resultat!$AA$6*(SUMPRODUCT((Resultat!$E$13:$E20=INDIRECT(C$1&amp;"!$O$16"))*(Resultat!$J$13:$J20=0)))+Resultat!$AA$6*(SUMPRODUCT((Resultat!$G$13:$G20=INDIRECT(C$1&amp;"!$O$16"))*(Resultat!$H$13:$H20=0))))</f>
        <v>2</v>
      </c>
      <c r="D459">
        <f ca="1">IF(INDIRECT(D$1&amp;"!$K"&amp;$A459+12)="","",Resultat!$AA$6*(SUMPRODUCT((Resultat!$E$13:$E20=INDIRECT(D$1&amp;"!$O$16"))*(Resultat!$J$13:$J20=0)))+Resultat!$AA$6*(SUMPRODUCT((Resultat!$G$13:$G20=INDIRECT(D$1&amp;"!$O$16"))*(Resultat!$H$13:$H20=0))))</f>
        <v>2</v>
      </c>
      <c r="E459">
        <f ca="1">IF(INDIRECT(E$1&amp;"!$K"&amp;$A459+12)="","",Resultat!$AA$6*(SUMPRODUCT((Resultat!$E$13:$E20=INDIRECT(E$1&amp;"!$O$16"))*(Resultat!$J$13:$J20=0)))+Resultat!$AA$6*(SUMPRODUCT((Resultat!$G$13:$G20=INDIRECT(E$1&amp;"!$O$16"))*(Resultat!$H$13:$H20=0))))</f>
        <v>0</v>
      </c>
      <c r="F459">
        <f ca="1">IF(INDIRECT(F$1&amp;"!$K"&amp;$A459+12)="","",Resultat!$AA$6*(SUMPRODUCT((Resultat!$E$13:$E20=INDIRECT(F$1&amp;"!$O$16"))*(Resultat!$J$13:$J20=0)))+Resultat!$AA$6*(SUMPRODUCT((Resultat!$G$13:$G20=INDIRECT(F$1&amp;"!$O$16"))*(Resultat!$H$13:$H20=0))))</f>
        <v>0</v>
      </c>
    </row>
    <row r="460" spans="1:9" outlineLevel="1" x14ac:dyDescent="0.2">
      <c r="A460">
        <v>9</v>
      </c>
      <c r="B460">
        <f ca="1">IF(INDIRECT(B$1&amp;"!$K"&amp;$A460+12)="","",Resultat!$AA$6*(SUMPRODUCT((Resultat!$E$13:$E21=INDIRECT(B$1&amp;"!$O$16"))*(Resultat!$J$13:$J21=0)))+Resultat!$AA$6*(SUMPRODUCT((Resultat!$G$13:$G21=INDIRECT(B$1&amp;"!$O$16"))*(Resultat!$H$13:$H21=0))))</f>
        <v>2</v>
      </c>
      <c r="C460">
        <f ca="1">IF(INDIRECT(C$1&amp;"!$K"&amp;$A460+12)="","",Resultat!$AA$6*(SUMPRODUCT((Resultat!$E$13:$E21=INDIRECT(C$1&amp;"!$O$16"))*(Resultat!$J$13:$J21=0)))+Resultat!$AA$6*(SUMPRODUCT((Resultat!$G$13:$G21=INDIRECT(C$1&amp;"!$O$16"))*(Resultat!$H$13:$H21=0))))</f>
        <v>2</v>
      </c>
      <c r="D460">
        <f ca="1">IF(INDIRECT(D$1&amp;"!$K"&amp;$A460+12)="","",Resultat!$AA$6*(SUMPRODUCT((Resultat!$E$13:$E21=INDIRECT(D$1&amp;"!$O$16"))*(Resultat!$J$13:$J21=0)))+Resultat!$AA$6*(SUMPRODUCT((Resultat!$G$13:$G21=INDIRECT(D$1&amp;"!$O$16"))*(Resultat!$H$13:$H21=0))))</f>
        <v>2</v>
      </c>
      <c r="E460">
        <f ca="1">IF(INDIRECT(E$1&amp;"!$K"&amp;$A460+12)="","",Resultat!$AA$6*(SUMPRODUCT((Resultat!$E$13:$E21=INDIRECT(E$1&amp;"!$O$16"))*(Resultat!$J$13:$J21=0)))+Resultat!$AA$6*(SUMPRODUCT((Resultat!$G$13:$G21=INDIRECT(E$1&amp;"!$O$16"))*(Resultat!$H$13:$H21=0))))</f>
        <v>2</v>
      </c>
      <c r="F460">
        <f ca="1">IF(INDIRECT(F$1&amp;"!$K"&amp;$A460+12)="","",Resultat!$AA$6*(SUMPRODUCT((Resultat!$E$13:$E21=INDIRECT(F$1&amp;"!$O$16"))*(Resultat!$J$13:$J21=0)))+Resultat!$AA$6*(SUMPRODUCT((Resultat!$G$13:$G21=INDIRECT(F$1&amp;"!$O$16"))*(Resultat!$H$13:$H21=0))))</f>
        <v>0</v>
      </c>
    </row>
    <row r="461" spans="1:9" outlineLevel="1" x14ac:dyDescent="0.2">
      <c r="A461">
        <v>10</v>
      </c>
      <c r="B461">
        <f ca="1">IF(INDIRECT(B$1&amp;"!$K"&amp;$A461+12)="","",Resultat!$AA$6*(SUMPRODUCT((Resultat!$E$13:$E22=INDIRECT(B$1&amp;"!$O$16"))*(Resultat!$J$13:$J22=0)))+Resultat!$AA$6*(SUMPRODUCT((Resultat!$G$13:$G22=INDIRECT(B$1&amp;"!$O$16"))*(Resultat!$H$13:$H22=0))))</f>
        <v>2</v>
      </c>
      <c r="C461">
        <f ca="1">IF(INDIRECT(C$1&amp;"!$K"&amp;$A461+12)="","",Resultat!$AA$6*(SUMPRODUCT((Resultat!$E$13:$E22=INDIRECT(C$1&amp;"!$O$16"))*(Resultat!$J$13:$J22=0)))+Resultat!$AA$6*(SUMPRODUCT((Resultat!$G$13:$G22=INDIRECT(C$1&amp;"!$O$16"))*(Resultat!$H$13:$H22=0))))</f>
        <v>2</v>
      </c>
      <c r="D461">
        <f ca="1">IF(INDIRECT(D$1&amp;"!$K"&amp;$A461+12)="","",Resultat!$AA$6*(SUMPRODUCT((Resultat!$E$13:$E22=INDIRECT(D$1&amp;"!$O$16"))*(Resultat!$J$13:$J22=0)))+Resultat!$AA$6*(SUMPRODUCT((Resultat!$G$13:$G22=INDIRECT(D$1&amp;"!$O$16"))*(Resultat!$H$13:$H22=0))))</f>
        <v>2</v>
      </c>
      <c r="E461">
        <f ca="1">IF(INDIRECT(E$1&amp;"!$K"&amp;$A461+12)="","",Resultat!$AA$6*(SUMPRODUCT((Resultat!$E$13:$E22=INDIRECT(E$1&amp;"!$O$16"))*(Resultat!$J$13:$J22=0)))+Resultat!$AA$6*(SUMPRODUCT((Resultat!$G$13:$G22=INDIRECT(E$1&amp;"!$O$16"))*(Resultat!$H$13:$H22=0))))</f>
        <v>2</v>
      </c>
      <c r="F461">
        <f ca="1">IF(INDIRECT(F$1&amp;"!$K"&amp;$A461+12)="","",Resultat!$AA$6*(SUMPRODUCT((Resultat!$E$13:$E22=INDIRECT(F$1&amp;"!$O$16"))*(Resultat!$J$13:$J22=0)))+Resultat!$AA$6*(SUMPRODUCT((Resultat!$G$13:$G22=INDIRECT(F$1&amp;"!$O$16"))*(Resultat!$H$13:$H22=0))))</f>
        <v>0</v>
      </c>
    </row>
    <row r="462" spans="1:9" outlineLevel="1" x14ac:dyDescent="0.2">
      <c r="A462">
        <v>11</v>
      </c>
      <c r="B462">
        <f ca="1">IF(INDIRECT(B$1&amp;"!$K"&amp;$A462+12)="","",Resultat!$AA$6*(SUMPRODUCT((Resultat!$E$13:$E23=INDIRECT(B$1&amp;"!$O$16"))*(Resultat!$J$13:$J23=0)))+Resultat!$AA$6*(SUMPRODUCT((Resultat!$G$13:$G23=INDIRECT(B$1&amp;"!$O$16"))*(Resultat!$H$13:$H23=0))))</f>
        <v>2</v>
      </c>
      <c r="C462">
        <f ca="1">IF(INDIRECT(C$1&amp;"!$K"&amp;$A462+12)="","",Resultat!$AA$6*(SUMPRODUCT((Resultat!$E$13:$E23=INDIRECT(C$1&amp;"!$O$16"))*(Resultat!$J$13:$J23=0)))+Resultat!$AA$6*(SUMPRODUCT((Resultat!$G$13:$G23=INDIRECT(C$1&amp;"!$O$16"))*(Resultat!$H$13:$H23=0))))</f>
        <v>2</v>
      </c>
      <c r="D462">
        <f ca="1">IF(INDIRECT(D$1&amp;"!$K"&amp;$A462+12)="","",Resultat!$AA$6*(SUMPRODUCT((Resultat!$E$13:$E23=INDIRECT(D$1&amp;"!$O$16"))*(Resultat!$J$13:$J23=0)))+Resultat!$AA$6*(SUMPRODUCT((Resultat!$G$13:$G23=INDIRECT(D$1&amp;"!$O$16"))*(Resultat!$H$13:$H23=0))))</f>
        <v>2</v>
      </c>
      <c r="E462">
        <f ca="1">IF(INDIRECT(E$1&amp;"!$K"&amp;$A462+12)="","",Resultat!$AA$6*(SUMPRODUCT((Resultat!$E$13:$E23=INDIRECT(E$1&amp;"!$O$16"))*(Resultat!$J$13:$J23=0)))+Resultat!$AA$6*(SUMPRODUCT((Resultat!$G$13:$G23=INDIRECT(E$1&amp;"!$O$16"))*(Resultat!$H$13:$H23=0))))</f>
        <v>2</v>
      </c>
      <c r="F462">
        <f ca="1">IF(INDIRECT(F$1&amp;"!$K"&amp;$A462+12)="","",Resultat!$AA$6*(SUMPRODUCT((Resultat!$E$13:$E23=INDIRECT(F$1&amp;"!$O$16"))*(Resultat!$J$13:$J23=0)))+Resultat!$AA$6*(SUMPRODUCT((Resultat!$G$13:$G23=INDIRECT(F$1&amp;"!$O$16"))*(Resultat!$H$13:$H23=0))))</f>
        <v>0</v>
      </c>
    </row>
    <row r="463" spans="1:9" outlineLevel="1" x14ac:dyDescent="0.2">
      <c r="A463">
        <v>12</v>
      </c>
      <c r="B463">
        <f ca="1">IF(INDIRECT(B$1&amp;"!$K"&amp;$A463+12)="","",Resultat!$AA$6*(SUMPRODUCT((Resultat!$E$13:$E24=INDIRECT(B$1&amp;"!$O$16"))*(Resultat!$J$13:$J24=0)))+Resultat!$AA$6*(SUMPRODUCT((Resultat!$G$13:$G24=INDIRECT(B$1&amp;"!$O$16"))*(Resultat!$H$13:$H24=0))))</f>
        <v>2</v>
      </c>
      <c r="C463">
        <f ca="1">IF(INDIRECT(C$1&amp;"!$K"&amp;$A463+12)="","",Resultat!$AA$6*(SUMPRODUCT((Resultat!$E$13:$E24=INDIRECT(C$1&amp;"!$O$16"))*(Resultat!$J$13:$J24=0)))+Resultat!$AA$6*(SUMPRODUCT((Resultat!$G$13:$G24=INDIRECT(C$1&amp;"!$O$16"))*(Resultat!$H$13:$H24=0))))</f>
        <v>2</v>
      </c>
      <c r="D463">
        <f ca="1">IF(INDIRECT(D$1&amp;"!$K"&amp;$A463+12)="","",Resultat!$AA$6*(SUMPRODUCT((Resultat!$E$13:$E24=INDIRECT(D$1&amp;"!$O$16"))*(Resultat!$J$13:$J24=0)))+Resultat!$AA$6*(SUMPRODUCT((Resultat!$G$13:$G24=INDIRECT(D$1&amp;"!$O$16"))*(Resultat!$H$13:$H24=0))))</f>
        <v>2</v>
      </c>
      <c r="E463">
        <f ca="1">IF(INDIRECT(E$1&amp;"!$K"&amp;$A463+12)="","",Resultat!$AA$6*(SUMPRODUCT((Resultat!$E$13:$E24=INDIRECT(E$1&amp;"!$O$16"))*(Resultat!$J$13:$J24=0)))+Resultat!$AA$6*(SUMPRODUCT((Resultat!$G$13:$G24=INDIRECT(E$1&amp;"!$O$16"))*(Resultat!$H$13:$H24=0))))</f>
        <v>2</v>
      </c>
      <c r="F463">
        <f ca="1">IF(INDIRECT(F$1&amp;"!$K"&amp;$A463+12)="","",Resultat!$AA$6*(SUMPRODUCT((Resultat!$E$13:$E24=INDIRECT(F$1&amp;"!$O$16"))*(Resultat!$J$13:$J24=0)))+Resultat!$AA$6*(SUMPRODUCT((Resultat!$G$13:$G24=INDIRECT(F$1&amp;"!$O$16"))*(Resultat!$H$13:$H24=0))))</f>
        <v>0</v>
      </c>
    </row>
    <row r="464" spans="1:9" outlineLevel="1" x14ac:dyDescent="0.2">
      <c r="A464">
        <v>13</v>
      </c>
      <c r="B464">
        <f ca="1">IF(INDIRECT(B$1&amp;"!$K"&amp;$A464+12)="","",Resultat!$AA$6*(SUMPRODUCT((Resultat!$E$13:$E25=INDIRECT(B$1&amp;"!$O$16"))*(Resultat!$J$13:$J25=0)))+Resultat!$AA$6*(SUMPRODUCT((Resultat!$G$13:$G25=INDIRECT(B$1&amp;"!$O$16"))*(Resultat!$H$13:$H25=0))))</f>
        <v>2</v>
      </c>
      <c r="C464">
        <f ca="1">IF(INDIRECT(C$1&amp;"!$K"&amp;$A464+12)="","",Resultat!$AA$6*(SUMPRODUCT((Resultat!$E$13:$E25=INDIRECT(C$1&amp;"!$O$16"))*(Resultat!$J$13:$J25=0)))+Resultat!$AA$6*(SUMPRODUCT((Resultat!$G$13:$G25=INDIRECT(C$1&amp;"!$O$16"))*(Resultat!$H$13:$H25=0))))</f>
        <v>2</v>
      </c>
      <c r="D464">
        <f ca="1">IF(INDIRECT(D$1&amp;"!$K"&amp;$A464+12)="","",Resultat!$AA$6*(SUMPRODUCT((Resultat!$E$13:$E25=INDIRECT(D$1&amp;"!$O$16"))*(Resultat!$J$13:$J25=0)))+Resultat!$AA$6*(SUMPRODUCT((Resultat!$G$13:$G25=INDIRECT(D$1&amp;"!$O$16"))*(Resultat!$H$13:$H25=0))))</f>
        <v>2</v>
      </c>
      <c r="E464">
        <f ca="1">IF(INDIRECT(E$1&amp;"!$K"&amp;$A464+12)="","",Resultat!$AA$6*(SUMPRODUCT((Resultat!$E$13:$E25=INDIRECT(E$1&amp;"!$O$16"))*(Resultat!$J$13:$J25=0)))+Resultat!$AA$6*(SUMPRODUCT((Resultat!$G$13:$G25=INDIRECT(E$1&amp;"!$O$16"))*(Resultat!$H$13:$H25=0))))</f>
        <v>2</v>
      </c>
      <c r="F464">
        <f ca="1">IF(INDIRECT(F$1&amp;"!$K"&amp;$A464+12)="","",Resultat!$AA$6*(SUMPRODUCT((Resultat!$E$13:$E25=INDIRECT(F$1&amp;"!$O$16"))*(Resultat!$J$13:$J25=0)))+Resultat!$AA$6*(SUMPRODUCT((Resultat!$G$13:$G25=INDIRECT(F$1&amp;"!$O$16"))*(Resultat!$H$13:$H25=0))))</f>
        <v>0</v>
      </c>
    </row>
    <row r="465" spans="1:6" outlineLevel="1" x14ac:dyDescent="0.2">
      <c r="A465">
        <v>14</v>
      </c>
      <c r="B465">
        <f ca="1">IF(INDIRECT(B$1&amp;"!$K"&amp;$A465+12)="","",Resultat!$AA$6*(SUMPRODUCT((Resultat!$E$13:$E26=INDIRECT(B$1&amp;"!$O$16"))*(Resultat!$J$13:$J26=0)))+Resultat!$AA$6*(SUMPRODUCT((Resultat!$G$13:$G26=INDIRECT(B$1&amp;"!$O$16"))*(Resultat!$H$13:$H26=0))))</f>
        <v>2</v>
      </c>
      <c r="C465">
        <f ca="1">IF(INDIRECT(C$1&amp;"!$K"&amp;$A465+12)="","",Resultat!$AA$6*(SUMPRODUCT((Resultat!$E$13:$E26=INDIRECT(C$1&amp;"!$O$16"))*(Resultat!$J$13:$J26=0)))+Resultat!$AA$6*(SUMPRODUCT((Resultat!$G$13:$G26=INDIRECT(C$1&amp;"!$O$16"))*(Resultat!$H$13:$H26=0))))</f>
        <v>2</v>
      </c>
      <c r="D465">
        <f ca="1">IF(INDIRECT(D$1&amp;"!$K"&amp;$A465+12)="","",Resultat!$AA$6*(SUMPRODUCT((Resultat!$E$13:$E26=INDIRECT(D$1&amp;"!$O$16"))*(Resultat!$J$13:$J26=0)))+Resultat!$AA$6*(SUMPRODUCT((Resultat!$G$13:$G26=INDIRECT(D$1&amp;"!$O$16"))*(Resultat!$H$13:$H26=0))))</f>
        <v>2</v>
      </c>
      <c r="E465">
        <f ca="1">IF(INDIRECT(E$1&amp;"!$K"&amp;$A465+12)="","",Resultat!$AA$6*(SUMPRODUCT((Resultat!$E$13:$E26=INDIRECT(E$1&amp;"!$O$16"))*(Resultat!$J$13:$J26=0)))+Resultat!$AA$6*(SUMPRODUCT((Resultat!$G$13:$G26=INDIRECT(E$1&amp;"!$O$16"))*(Resultat!$H$13:$H26=0))))</f>
        <v>2</v>
      </c>
      <c r="F465">
        <f ca="1">IF(INDIRECT(F$1&amp;"!$K"&amp;$A465+12)="","",Resultat!$AA$6*(SUMPRODUCT((Resultat!$E$13:$E26=INDIRECT(F$1&amp;"!$O$16"))*(Resultat!$J$13:$J26=0)))+Resultat!$AA$6*(SUMPRODUCT((Resultat!$G$13:$G26=INDIRECT(F$1&amp;"!$O$16"))*(Resultat!$H$13:$H26=0))))</f>
        <v>0</v>
      </c>
    </row>
    <row r="466" spans="1:6" outlineLevel="1" x14ac:dyDescent="0.2">
      <c r="A466">
        <v>15</v>
      </c>
      <c r="B466">
        <f ca="1">IF(INDIRECT(B$1&amp;"!$K"&amp;$A466+12)="","",Resultat!$AA$6*(SUMPRODUCT((Resultat!$E$13:$E27=INDIRECT(B$1&amp;"!$O$16"))*(Resultat!$J$13:$J27=0)))+Resultat!$AA$6*(SUMPRODUCT((Resultat!$G$13:$G27=INDIRECT(B$1&amp;"!$O$16"))*(Resultat!$H$13:$H27=0))))</f>
        <v>2</v>
      </c>
      <c r="C466">
        <f ca="1">IF(INDIRECT(C$1&amp;"!$K"&amp;$A466+12)="","",Resultat!$AA$6*(SUMPRODUCT((Resultat!$E$13:$E27=INDIRECT(C$1&amp;"!$O$16"))*(Resultat!$J$13:$J27=0)))+Resultat!$AA$6*(SUMPRODUCT((Resultat!$G$13:$G27=INDIRECT(C$1&amp;"!$O$16"))*(Resultat!$H$13:$H27=0))))</f>
        <v>2</v>
      </c>
      <c r="D466">
        <f ca="1">IF(INDIRECT(D$1&amp;"!$K"&amp;$A466+12)="","",Resultat!$AA$6*(SUMPRODUCT((Resultat!$E$13:$E27=INDIRECT(D$1&amp;"!$O$16"))*(Resultat!$J$13:$J27=0)))+Resultat!$AA$6*(SUMPRODUCT((Resultat!$G$13:$G27=INDIRECT(D$1&amp;"!$O$16"))*(Resultat!$H$13:$H27=0))))</f>
        <v>2</v>
      </c>
      <c r="E466">
        <f ca="1">IF(INDIRECT(E$1&amp;"!$K"&amp;$A466+12)="","",Resultat!$AA$6*(SUMPRODUCT((Resultat!$E$13:$E27=INDIRECT(E$1&amp;"!$O$16"))*(Resultat!$J$13:$J27=0)))+Resultat!$AA$6*(SUMPRODUCT((Resultat!$G$13:$G27=INDIRECT(E$1&amp;"!$O$16"))*(Resultat!$H$13:$H27=0))))</f>
        <v>2</v>
      </c>
      <c r="F466">
        <f ca="1">IF(INDIRECT(F$1&amp;"!$K"&amp;$A466+12)="","",Resultat!$AA$6*(SUMPRODUCT((Resultat!$E$13:$E27=INDIRECT(F$1&amp;"!$O$16"))*(Resultat!$J$13:$J27=0)))+Resultat!$AA$6*(SUMPRODUCT((Resultat!$G$13:$G27=INDIRECT(F$1&amp;"!$O$16"))*(Resultat!$H$13:$H27=0))))</f>
        <v>0</v>
      </c>
    </row>
    <row r="467" spans="1:6" outlineLevel="1" x14ac:dyDescent="0.2">
      <c r="A467">
        <v>16</v>
      </c>
      <c r="B467">
        <f ca="1">IF(INDIRECT(B$1&amp;"!$K"&amp;$A467+12)="","",Resultat!$AA$6*(SUMPRODUCT((Resultat!$E$13:$E28=INDIRECT(B$1&amp;"!$O$16"))*(Resultat!$J$13:$J28=0)))+Resultat!$AA$6*(SUMPRODUCT((Resultat!$G$13:$G28=INDIRECT(B$1&amp;"!$O$16"))*(Resultat!$H$13:$H28=0))))</f>
        <v>2</v>
      </c>
      <c r="C467">
        <f ca="1">IF(INDIRECT(C$1&amp;"!$K"&amp;$A467+12)="","",Resultat!$AA$6*(SUMPRODUCT((Resultat!$E$13:$E28=INDIRECT(C$1&amp;"!$O$16"))*(Resultat!$J$13:$J28=0)))+Resultat!$AA$6*(SUMPRODUCT((Resultat!$G$13:$G28=INDIRECT(C$1&amp;"!$O$16"))*(Resultat!$H$13:$H28=0))))</f>
        <v>4</v>
      </c>
      <c r="D467">
        <f ca="1">IF(INDIRECT(D$1&amp;"!$K"&amp;$A467+12)="","",Resultat!$AA$6*(SUMPRODUCT((Resultat!$E$13:$E28=INDIRECT(D$1&amp;"!$O$16"))*(Resultat!$J$13:$J28=0)))+Resultat!$AA$6*(SUMPRODUCT((Resultat!$G$13:$G28=INDIRECT(D$1&amp;"!$O$16"))*(Resultat!$H$13:$H28=0))))</f>
        <v>4</v>
      </c>
      <c r="E467">
        <f ca="1">IF(INDIRECT(E$1&amp;"!$K"&amp;$A467+12)="","",Resultat!$AA$6*(SUMPRODUCT((Resultat!$E$13:$E28=INDIRECT(E$1&amp;"!$O$16"))*(Resultat!$J$13:$J28=0)))+Resultat!$AA$6*(SUMPRODUCT((Resultat!$G$13:$G28=INDIRECT(E$1&amp;"!$O$16"))*(Resultat!$H$13:$H28=0))))</f>
        <v>2</v>
      </c>
      <c r="F467">
        <f ca="1">IF(INDIRECT(F$1&amp;"!$K"&amp;$A467+12)="","",Resultat!$AA$6*(SUMPRODUCT((Resultat!$E$13:$E28=INDIRECT(F$1&amp;"!$O$16"))*(Resultat!$J$13:$J28=0)))+Resultat!$AA$6*(SUMPRODUCT((Resultat!$G$13:$G28=INDIRECT(F$1&amp;"!$O$16"))*(Resultat!$H$13:$H28=0))))</f>
        <v>0</v>
      </c>
    </row>
    <row r="468" spans="1:6" outlineLevel="1" x14ac:dyDescent="0.2">
      <c r="A468">
        <v>17</v>
      </c>
      <c r="B468">
        <f ca="1">IF(INDIRECT(B$1&amp;"!$K"&amp;$A468+12)="","",Resultat!$AA$6*(SUMPRODUCT((Resultat!$E$13:$E29=INDIRECT(B$1&amp;"!$O$16"))*(Resultat!$J$13:$J29=0)))+Resultat!$AA$6*(SUMPRODUCT((Resultat!$G$13:$G29=INDIRECT(B$1&amp;"!$O$16"))*(Resultat!$H$13:$H29=0))))</f>
        <v>2</v>
      </c>
      <c r="C468">
        <f ca="1">IF(INDIRECT(C$1&amp;"!$K"&amp;$A468+12)="","",Resultat!$AA$6*(SUMPRODUCT((Resultat!$E$13:$E29=INDIRECT(C$1&amp;"!$O$16"))*(Resultat!$J$13:$J29=0)))+Resultat!$AA$6*(SUMPRODUCT((Resultat!$G$13:$G29=INDIRECT(C$1&amp;"!$O$16"))*(Resultat!$H$13:$H29=0))))</f>
        <v>4</v>
      </c>
      <c r="D468">
        <f ca="1">IF(INDIRECT(D$1&amp;"!$K"&amp;$A468+12)="","",Resultat!$AA$6*(SUMPRODUCT((Resultat!$E$13:$E29=INDIRECT(D$1&amp;"!$O$16"))*(Resultat!$J$13:$J29=0)))+Resultat!$AA$6*(SUMPRODUCT((Resultat!$G$13:$G29=INDIRECT(D$1&amp;"!$O$16"))*(Resultat!$H$13:$H29=0))))</f>
        <v>4</v>
      </c>
      <c r="E468">
        <f ca="1">IF(INDIRECT(E$1&amp;"!$K"&amp;$A468+12)="","",Resultat!$AA$6*(SUMPRODUCT((Resultat!$E$13:$E29=INDIRECT(E$1&amp;"!$O$16"))*(Resultat!$J$13:$J29=0)))+Resultat!$AA$6*(SUMPRODUCT((Resultat!$G$13:$G29=INDIRECT(E$1&amp;"!$O$16"))*(Resultat!$H$13:$H29=0))))</f>
        <v>2</v>
      </c>
      <c r="F468">
        <f ca="1">IF(INDIRECT(F$1&amp;"!$K"&amp;$A468+12)="","",Resultat!$AA$6*(SUMPRODUCT((Resultat!$E$13:$E29=INDIRECT(F$1&amp;"!$O$16"))*(Resultat!$J$13:$J29=0)))+Resultat!$AA$6*(SUMPRODUCT((Resultat!$G$13:$G29=INDIRECT(F$1&amp;"!$O$16"))*(Resultat!$H$13:$H29=0))))</f>
        <v>0</v>
      </c>
    </row>
    <row r="469" spans="1:6" outlineLevel="1" x14ac:dyDescent="0.2">
      <c r="A469">
        <v>18</v>
      </c>
      <c r="B469">
        <f ca="1">IF(INDIRECT(B$1&amp;"!$K"&amp;$A469+12)="","",Resultat!$AA$6*(SUMPRODUCT((Resultat!$E$13:$E30=INDIRECT(B$1&amp;"!$O$16"))*(Resultat!$J$13:$J30=0)))+Resultat!$AA$6*(SUMPRODUCT((Resultat!$G$13:$G30=INDIRECT(B$1&amp;"!$O$16"))*(Resultat!$H$13:$H30=0))))</f>
        <v>2</v>
      </c>
      <c r="C469">
        <f ca="1">IF(INDIRECT(C$1&amp;"!$K"&amp;$A469+12)="","",Resultat!$AA$6*(SUMPRODUCT((Resultat!$E$13:$E30=INDIRECT(C$1&amp;"!$O$16"))*(Resultat!$J$13:$J30=0)))+Resultat!$AA$6*(SUMPRODUCT((Resultat!$G$13:$G30=INDIRECT(C$1&amp;"!$O$16"))*(Resultat!$H$13:$H30=0))))</f>
        <v>4</v>
      </c>
      <c r="D469">
        <f ca="1">IF(INDIRECT(D$1&amp;"!$K"&amp;$A469+12)="","",Resultat!$AA$6*(SUMPRODUCT((Resultat!$E$13:$E30=INDIRECT(D$1&amp;"!$O$16"))*(Resultat!$J$13:$J30=0)))+Resultat!$AA$6*(SUMPRODUCT((Resultat!$G$13:$G30=INDIRECT(D$1&amp;"!$O$16"))*(Resultat!$H$13:$H30=0))))</f>
        <v>4</v>
      </c>
      <c r="E469">
        <f ca="1">IF(INDIRECT(E$1&amp;"!$K"&amp;$A469+12)="","",Resultat!$AA$6*(SUMPRODUCT((Resultat!$E$13:$E30=INDIRECT(E$1&amp;"!$O$16"))*(Resultat!$J$13:$J30=0)))+Resultat!$AA$6*(SUMPRODUCT((Resultat!$G$13:$G30=INDIRECT(E$1&amp;"!$O$16"))*(Resultat!$H$13:$H30=0))))</f>
        <v>2</v>
      </c>
      <c r="F469">
        <f ca="1">IF(INDIRECT(F$1&amp;"!$K"&amp;$A469+12)="","",Resultat!$AA$6*(SUMPRODUCT((Resultat!$E$13:$E30=INDIRECT(F$1&amp;"!$O$16"))*(Resultat!$J$13:$J30=0)))+Resultat!$AA$6*(SUMPRODUCT((Resultat!$G$13:$G30=INDIRECT(F$1&amp;"!$O$16"))*(Resultat!$H$13:$H30=0))))</f>
        <v>0</v>
      </c>
    </row>
    <row r="470" spans="1:6" outlineLevel="1" x14ac:dyDescent="0.2">
      <c r="A470">
        <v>19</v>
      </c>
      <c r="B470">
        <f ca="1">IF(INDIRECT(B$1&amp;"!$K"&amp;$A470+12)="","",Resultat!$AA$6*(SUMPRODUCT((Resultat!$E$13:$E31=INDIRECT(B$1&amp;"!$O$16"))*(Resultat!$J$13:$J31=0)))+Resultat!$AA$6*(SUMPRODUCT((Resultat!$G$13:$G31=INDIRECT(B$1&amp;"!$O$16"))*(Resultat!$H$13:$H31=0))))</f>
        <v>2</v>
      </c>
      <c r="C470">
        <f ca="1">IF(INDIRECT(C$1&amp;"!$K"&amp;$A470+12)="","",Resultat!$AA$6*(SUMPRODUCT((Resultat!$E$13:$E31=INDIRECT(C$1&amp;"!$O$16"))*(Resultat!$J$13:$J31=0)))+Resultat!$AA$6*(SUMPRODUCT((Resultat!$G$13:$G31=INDIRECT(C$1&amp;"!$O$16"))*(Resultat!$H$13:$H31=0))))</f>
        <v>4</v>
      </c>
      <c r="D470">
        <f ca="1">IF(INDIRECT(D$1&amp;"!$K"&amp;$A470+12)="","",Resultat!$AA$6*(SUMPRODUCT((Resultat!$E$13:$E31=INDIRECT(D$1&amp;"!$O$16"))*(Resultat!$J$13:$J31=0)))+Resultat!$AA$6*(SUMPRODUCT((Resultat!$G$13:$G31=INDIRECT(D$1&amp;"!$O$16"))*(Resultat!$H$13:$H31=0))))</f>
        <v>4</v>
      </c>
      <c r="E470">
        <f ca="1">IF(INDIRECT(E$1&amp;"!$K"&amp;$A470+12)="","",Resultat!$AA$6*(SUMPRODUCT((Resultat!$E$13:$E31=INDIRECT(E$1&amp;"!$O$16"))*(Resultat!$J$13:$J31=0)))+Resultat!$AA$6*(SUMPRODUCT((Resultat!$G$13:$G31=INDIRECT(E$1&amp;"!$O$16"))*(Resultat!$H$13:$H31=0))))</f>
        <v>2</v>
      </c>
      <c r="F470">
        <f ca="1">IF(INDIRECT(F$1&amp;"!$K"&amp;$A470+12)="","",Resultat!$AA$6*(SUMPRODUCT((Resultat!$E$13:$E31=INDIRECT(F$1&amp;"!$O$16"))*(Resultat!$J$13:$J31=0)))+Resultat!$AA$6*(SUMPRODUCT((Resultat!$G$13:$G31=INDIRECT(F$1&amp;"!$O$16"))*(Resultat!$H$13:$H31=0))))</f>
        <v>0</v>
      </c>
    </row>
    <row r="471" spans="1:6" outlineLevel="1" x14ac:dyDescent="0.2">
      <c r="A471">
        <v>20</v>
      </c>
      <c r="B471">
        <f ca="1">IF(INDIRECT(B$1&amp;"!$K"&amp;$A471+12)="","",Resultat!$AA$6*(SUMPRODUCT((Resultat!$E$13:$E32=INDIRECT(B$1&amp;"!$O$16"))*(Resultat!$J$13:$J32=0)))+Resultat!$AA$6*(SUMPRODUCT((Resultat!$G$13:$G32=INDIRECT(B$1&amp;"!$O$16"))*(Resultat!$H$13:$H32=0))))</f>
        <v>2</v>
      </c>
      <c r="C471">
        <f ca="1">IF(INDIRECT(C$1&amp;"!$K"&amp;$A471+12)="","",Resultat!$AA$6*(SUMPRODUCT((Resultat!$E$13:$E32=INDIRECT(C$1&amp;"!$O$16"))*(Resultat!$J$13:$J32=0)))+Resultat!$AA$6*(SUMPRODUCT((Resultat!$G$13:$G32=INDIRECT(C$1&amp;"!$O$16"))*(Resultat!$H$13:$H32=0))))</f>
        <v>4</v>
      </c>
      <c r="D471">
        <f ca="1">IF(INDIRECT(D$1&amp;"!$K"&amp;$A471+12)="","",Resultat!$AA$6*(SUMPRODUCT((Resultat!$E$13:$E32=INDIRECT(D$1&amp;"!$O$16"))*(Resultat!$J$13:$J32=0)))+Resultat!$AA$6*(SUMPRODUCT((Resultat!$G$13:$G32=INDIRECT(D$1&amp;"!$O$16"))*(Resultat!$H$13:$H32=0))))</f>
        <v>4</v>
      </c>
      <c r="E471">
        <f ca="1">IF(INDIRECT(E$1&amp;"!$K"&amp;$A471+12)="","",Resultat!$AA$6*(SUMPRODUCT((Resultat!$E$13:$E32=INDIRECT(E$1&amp;"!$O$16"))*(Resultat!$J$13:$J32=0)))+Resultat!$AA$6*(SUMPRODUCT((Resultat!$G$13:$G32=INDIRECT(E$1&amp;"!$O$16"))*(Resultat!$H$13:$H32=0))))</f>
        <v>2</v>
      </c>
      <c r="F471">
        <f ca="1">IF(INDIRECT(F$1&amp;"!$K"&amp;$A471+12)="","",Resultat!$AA$6*(SUMPRODUCT((Resultat!$E$13:$E32=INDIRECT(F$1&amp;"!$O$16"))*(Resultat!$J$13:$J32=0)))+Resultat!$AA$6*(SUMPRODUCT((Resultat!$G$13:$G32=INDIRECT(F$1&amp;"!$O$16"))*(Resultat!$H$13:$H32=0))))</f>
        <v>0</v>
      </c>
    </row>
    <row r="472" spans="1:6" outlineLevel="1" x14ac:dyDescent="0.2">
      <c r="A472">
        <v>21</v>
      </c>
      <c r="B472">
        <f ca="1">IF(INDIRECT(B$1&amp;"!$K"&amp;$A472+12)="","",Resultat!$AA$6*(SUMPRODUCT((Resultat!$E$13:$E33=INDIRECT(B$1&amp;"!$O$16"))*(Resultat!$J$13:$J33=0)))+Resultat!$AA$6*(SUMPRODUCT((Resultat!$G$13:$G33=INDIRECT(B$1&amp;"!$O$16"))*(Resultat!$H$13:$H33=0))))</f>
        <v>2</v>
      </c>
      <c r="C472">
        <f ca="1">IF(INDIRECT(C$1&amp;"!$K"&amp;$A472+12)="","",Resultat!$AA$6*(SUMPRODUCT((Resultat!$E$13:$E33=INDIRECT(C$1&amp;"!$O$16"))*(Resultat!$J$13:$J33=0)))+Resultat!$AA$6*(SUMPRODUCT((Resultat!$G$13:$G33=INDIRECT(C$1&amp;"!$O$16"))*(Resultat!$H$13:$H33=0))))</f>
        <v>4</v>
      </c>
      <c r="D472">
        <f ca="1">IF(INDIRECT(D$1&amp;"!$K"&amp;$A472+12)="","",Resultat!$AA$6*(SUMPRODUCT((Resultat!$E$13:$E33=INDIRECT(D$1&amp;"!$O$16"))*(Resultat!$J$13:$J33=0)))+Resultat!$AA$6*(SUMPRODUCT((Resultat!$G$13:$G33=INDIRECT(D$1&amp;"!$O$16"))*(Resultat!$H$13:$H33=0))))</f>
        <v>4</v>
      </c>
      <c r="E472">
        <f ca="1">IF(INDIRECT(E$1&amp;"!$K"&amp;$A472+12)="","",Resultat!$AA$6*(SUMPRODUCT((Resultat!$E$13:$E33=INDIRECT(E$1&amp;"!$O$16"))*(Resultat!$J$13:$J33=0)))+Resultat!$AA$6*(SUMPRODUCT((Resultat!$G$13:$G33=INDIRECT(E$1&amp;"!$O$16"))*(Resultat!$H$13:$H33=0))))</f>
        <v>2</v>
      </c>
      <c r="F472">
        <f ca="1">IF(INDIRECT(F$1&amp;"!$K"&amp;$A472+12)="","",Resultat!$AA$6*(SUMPRODUCT((Resultat!$E$13:$E33=INDIRECT(F$1&amp;"!$O$16"))*(Resultat!$J$13:$J33=0)))+Resultat!$AA$6*(SUMPRODUCT((Resultat!$G$13:$G33=INDIRECT(F$1&amp;"!$O$16"))*(Resultat!$H$13:$H33=0))))</f>
        <v>0</v>
      </c>
    </row>
    <row r="473" spans="1:6" outlineLevel="1" x14ac:dyDescent="0.2">
      <c r="A473">
        <v>22</v>
      </c>
      <c r="B473">
        <f ca="1">IF(INDIRECT(B$1&amp;"!$K"&amp;$A473+12)="","",Resultat!$AA$6*(SUMPRODUCT((Resultat!$E$13:$E34=INDIRECT(B$1&amp;"!$O$16"))*(Resultat!$J$13:$J34=0)))+Resultat!$AA$6*(SUMPRODUCT((Resultat!$G$13:$G34=INDIRECT(B$1&amp;"!$O$16"))*(Resultat!$H$13:$H34=0))))</f>
        <v>2</v>
      </c>
      <c r="C473">
        <f ca="1">IF(INDIRECT(C$1&amp;"!$K"&amp;$A473+12)="","",Resultat!$AA$6*(SUMPRODUCT((Resultat!$E$13:$E34=INDIRECT(C$1&amp;"!$O$16"))*(Resultat!$J$13:$J34=0)))+Resultat!$AA$6*(SUMPRODUCT((Resultat!$G$13:$G34=INDIRECT(C$1&amp;"!$O$16"))*(Resultat!$H$13:$H34=0))))</f>
        <v>4</v>
      </c>
      <c r="D473">
        <f ca="1">IF(INDIRECT(D$1&amp;"!$K"&amp;$A473+12)="","",Resultat!$AA$6*(SUMPRODUCT((Resultat!$E$13:$E34=INDIRECT(D$1&amp;"!$O$16"))*(Resultat!$J$13:$J34=0)))+Resultat!$AA$6*(SUMPRODUCT((Resultat!$G$13:$G34=INDIRECT(D$1&amp;"!$O$16"))*(Resultat!$H$13:$H34=0))))</f>
        <v>4</v>
      </c>
      <c r="E473">
        <f ca="1">IF(INDIRECT(E$1&amp;"!$K"&amp;$A473+12)="","",Resultat!$AA$6*(SUMPRODUCT((Resultat!$E$13:$E34=INDIRECT(E$1&amp;"!$O$16"))*(Resultat!$J$13:$J34=0)))+Resultat!$AA$6*(SUMPRODUCT((Resultat!$G$13:$G34=INDIRECT(E$1&amp;"!$O$16"))*(Resultat!$H$13:$H34=0))))</f>
        <v>2</v>
      </c>
      <c r="F473">
        <f ca="1">IF(INDIRECT(F$1&amp;"!$K"&amp;$A473+12)="","",Resultat!$AA$6*(SUMPRODUCT((Resultat!$E$13:$E34=INDIRECT(F$1&amp;"!$O$16"))*(Resultat!$J$13:$J34=0)))+Resultat!$AA$6*(SUMPRODUCT((Resultat!$G$13:$G34=INDIRECT(F$1&amp;"!$O$16"))*(Resultat!$H$13:$H34=0))))</f>
        <v>0</v>
      </c>
    </row>
    <row r="474" spans="1:6" outlineLevel="1" x14ac:dyDescent="0.2">
      <c r="A474">
        <v>23</v>
      </c>
      <c r="B474">
        <f ca="1">IF(INDIRECT(B$1&amp;"!$K"&amp;$A474+12)="","",Resultat!$AA$6*(SUMPRODUCT((Resultat!$E$13:$E35=INDIRECT(B$1&amp;"!$O$16"))*(Resultat!$J$13:$J35=0)))+Resultat!$AA$6*(SUMPRODUCT((Resultat!$G$13:$G35=INDIRECT(B$1&amp;"!$O$16"))*(Resultat!$H$13:$H35=0))))</f>
        <v>2</v>
      </c>
      <c r="C474">
        <f ca="1">IF(INDIRECT(C$1&amp;"!$K"&amp;$A474+12)="","",Resultat!$AA$6*(SUMPRODUCT((Resultat!$E$13:$E35=INDIRECT(C$1&amp;"!$O$16"))*(Resultat!$J$13:$J35=0)))+Resultat!$AA$6*(SUMPRODUCT((Resultat!$G$13:$G35=INDIRECT(C$1&amp;"!$O$16"))*(Resultat!$H$13:$H35=0))))</f>
        <v>4</v>
      </c>
      <c r="D474">
        <f ca="1">IF(INDIRECT(D$1&amp;"!$K"&amp;$A474+12)="","",Resultat!$AA$6*(SUMPRODUCT((Resultat!$E$13:$E35=INDIRECT(D$1&amp;"!$O$16"))*(Resultat!$J$13:$J35=0)))+Resultat!$AA$6*(SUMPRODUCT((Resultat!$G$13:$G35=INDIRECT(D$1&amp;"!$O$16"))*(Resultat!$H$13:$H35=0))))</f>
        <v>4</v>
      </c>
      <c r="E474">
        <f ca="1">IF(INDIRECT(E$1&amp;"!$K"&amp;$A474+12)="","",Resultat!$AA$6*(SUMPRODUCT((Resultat!$E$13:$E35=INDIRECT(E$1&amp;"!$O$16"))*(Resultat!$J$13:$J35=0)))+Resultat!$AA$6*(SUMPRODUCT((Resultat!$G$13:$G35=INDIRECT(E$1&amp;"!$O$16"))*(Resultat!$H$13:$H35=0))))</f>
        <v>2</v>
      </c>
      <c r="F474">
        <f ca="1">IF(INDIRECT(F$1&amp;"!$K"&amp;$A474+12)="","",Resultat!$AA$6*(SUMPRODUCT((Resultat!$E$13:$E35=INDIRECT(F$1&amp;"!$O$16"))*(Resultat!$J$13:$J35=0)))+Resultat!$AA$6*(SUMPRODUCT((Resultat!$G$13:$G35=INDIRECT(F$1&amp;"!$O$16"))*(Resultat!$H$13:$H35=0))))</f>
        <v>0</v>
      </c>
    </row>
    <row r="475" spans="1:6" outlineLevel="1" x14ac:dyDescent="0.2">
      <c r="A475">
        <v>24</v>
      </c>
      <c r="B475">
        <f ca="1">IF(INDIRECT(B$1&amp;"!$K"&amp;$A475+12)="","",Resultat!$AA$6*(SUMPRODUCT((Resultat!$E$13:$E36=INDIRECT(B$1&amp;"!$O$16"))*(Resultat!$J$13:$J36=0)))+Resultat!$AA$6*(SUMPRODUCT((Resultat!$G$13:$G36=INDIRECT(B$1&amp;"!$O$16"))*(Resultat!$H$13:$H36=0))))</f>
        <v>2</v>
      </c>
      <c r="C475">
        <f ca="1">IF(INDIRECT(C$1&amp;"!$K"&amp;$A475+12)="","",Resultat!$AA$6*(SUMPRODUCT((Resultat!$E$13:$E36=INDIRECT(C$1&amp;"!$O$16"))*(Resultat!$J$13:$J36=0)))+Resultat!$AA$6*(SUMPRODUCT((Resultat!$G$13:$G36=INDIRECT(C$1&amp;"!$O$16"))*(Resultat!$H$13:$H36=0))))</f>
        <v>4</v>
      </c>
      <c r="D475">
        <f ca="1">IF(INDIRECT(D$1&amp;"!$K"&amp;$A475+12)="","",Resultat!$AA$6*(SUMPRODUCT((Resultat!$E$13:$E36=INDIRECT(D$1&amp;"!$O$16"))*(Resultat!$J$13:$J36=0)))+Resultat!$AA$6*(SUMPRODUCT((Resultat!$G$13:$G36=INDIRECT(D$1&amp;"!$O$16"))*(Resultat!$H$13:$H36=0))))</f>
        <v>4</v>
      </c>
      <c r="E475">
        <f ca="1">IF(INDIRECT(E$1&amp;"!$K"&amp;$A475+12)="","",Resultat!$AA$6*(SUMPRODUCT((Resultat!$E$13:$E36=INDIRECT(E$1&amp;"!$O$16"))*(Resultat!$J$13:$J36=0)))+Resultat!$AA$6*(SUMPRODUCT((Resultat!$G$13:$G36=INDIRECT(E$1&amp;"!$O$16"))*(Resultat!$H$13:$H36=0))))</f>
        <v>2</v>
      </c>
      <c r="F475">
        <f ca="1">IF(INDIRECT(F$1&amp;"!$K"&amp;$A475+12)="","",Resultat!$AA$6*(SUMPRODUCT((Resultat!$E$13:$E36=INDIRECT(F$1&amp;"!$O$16"))*(Resultat!$J$13:$J36=0)))+Resultat!$AA$6*(SUMPRODUCT((Resultat!$G$13:$G36=INDIRECT(F$1&amp;"!$O$16"))*(Resultat!$H$13:$H36=0))))</f>
        <v>0</v>
      </c>
    </row>
    <row r="476" spans="1:6" outlineLevel="1" x14ac:dyDescent="0.2">
      <c r="A476">
        <v>25</v>
      </c>
      <c r="B476">
        <f ca="1">IF(INDIRECT(B$1&amp;"!$K"&amp;$A476+12)="","",Resultat!$AA$6*(SUMPRODUCT((Resultat!$E$13:$E37=INDIRECT(B$1&amp;"!$O$16"))*(Resultat!$J$13:$J37=0)))+Resultat!$AA$6*(SUMPRODUCT((Resultat!$G$13:$G37=INDIRECT(B$1&amp;"!$O$16"))*(Resultat!$H$13:$H37=0))))</f>
        <v>2</v>
      </c>
      <c r="C476">
        <f ca="1">IF(INDIRECT(C$1&amp;"!$K"&amp;$A476+12)="","",Resultat!$AA$6*(SUMPRODUCT((Resultat!$E$13:$E37=INDIRECT(C$1&amp;"!$O$16"))*(Resultat!$J$13:$J37=0)))+Resultat!$AA$6*(SUMPRODUCT((Resultat!$G$13:$G37=INDIRECT(C$1&amp;"!$O$16"))*(Resultat!$H$13:$H37=0))))</f>
        <v>4</v>
      </c>
      <c r="D476">
        <f ca="1">IF(INDIRECT(D$1&amp;"!$K"&amp;$A476+12)="","",Resultat!$AA$6*(SUMPRODUCT((Resultat!$E$13:$E37=INDIRECT(D$1&amp;"!$O$16"))*(Resultat!$J$13:$J37=0)))+Resultat!$AA$6*(SUMPRODUCT((Resultat!$G$13:$G37=INDIRECT(D$1&amp;"!$O$16"))*(Resultat!$H$13:$H37=0))))</f>
        <v>4</v>
      </c>
      <c r="E476">
        <f ca="1">IF(INDIRECT(E$1&amp;"!$K"&amp;$A476+12)="","",Resultat!$AA$6*(SUMPRODUCT((Resultat!$E$13:$E37=INDIRECT(E$1&amp;"!$O$16"))*(Resultat!$J$13:$J37=0)))+Resultat!$AA$6*(SUMPRODUCT((Resultat!$G$13:$G37=INDIRECT(E$1&amp;"!$O$16"))*(Resultat!$H$13:$H37=0))))</f>
        <v>2</v>
      </c>
      <c r="F476">
        <f ca="1">IF(INDIRECT(F$1&amp;"!$K"&amp;$A476+12)="","",Resultat!$AA$6*(SUMPRODUCT((Resultat!$E$13:$E37=INDIRECT(F$1&amp;"!$O$16"))*(Resultat!$J$13:$J37=0)))+Resultat!$AA$6*(SUMPRODUCT((Resultat!$G$13:$G37=INDIRECT(F$1&amp;"!$O$16"))*(Resultat!$H$13:$H37=0))))</f>
        <v>0</v>
      </c>
    </row>
    <row r="477" spans="1:6" outlineLevel="1" x14ac:dyDescent="0.2">
      <c r="A477">
        <v>26</v>
      </c>
      <c r="B477">
        <f ca="1">IF(INDIRECT(B$1&amp;"!$K"&amp;$A477+12)="","",Resultat!$AA$6*(SUMPRODUCT((Resultat!$E$13:$E38=INDIRECT(B$1&amp;"!$O$16"))*(Resultat!$J$13:$J38=0)))+Resultat!$AA$6*(SUMPRODUCT((Resultat!$G$13:$G38=INDIRECT(B$1&amp;"!$O$16"))*(Resultat!$H$13:$H38=0))))</f>
        <v>2</v>
      </c>
      <c r="C477">
        <f ca="1">IF(INDIRECT(C$1&amp;"!$K"&amp;$A477+12)="","",Resultat!$AA$6*(SUMPRODUCT((Resultat!$E$13:$E38=INDIRECT(C$1&amp;"!$O$16"))*(Resultat!$J$13:$J38=0)))+Resultat!$AA$6*(SUMPRODUCT((Resultat!$G$13:$G38=INDIRECT(C$1&amp;"!$O$16"))*(Resultat!$H$13:$H38=0))))</f>
        <v>4</v>
      </c>
      <c r="D477">
        <f ca="1">IF(INDIRECT(D$1&amp;"!$K"&amp;$A477+12)="","",Resultat!$AA$6*(SUMPRODUCT((Resultat!$E$13:$E38=INDIRECT(D$1&amp;"!$O$16"))*(Resultat!$J$13:$J38=0)))+Resultat!$AA$6*(SUMPRODUCT((Resultat!$G$13:$G38=INDIRECT(D$1&amp;"!$O$16"))*(Resultat!$H$13:$H38=0))))</f>
        <v>4</v>
      </c>
      <c r="E477">
        <f ca="1">IF(INDIRECT(E$1&amp;"!$K"&amp;$A477+12)="","",Resultat!$AA$6*(SUMPRODUCT((Resultat!$E$13:$E38=INDIRECT(E$1&amp;"!$O$16"))*(Resultat!$J$13:$J38=0)))+Resultat!$AA$6*(SUMPRODUCT((Resultat!$G$13:$G38=INDIRECT(E$1&amp;"!$O$16"))*(Resultat!$H$13:$H38=0))))</f>
        <v>2</v>
      </c>
      <c r="F477">
        <f ca="1">IF(INDIRECT(F$1&amp;"!$K"&amp;$A477+12)="","",Resultat!$AA$6*(SUMPRODUCT((Resultat!$E$13:$E38=INDIRECT(F$1&amp;"!$O$16"))*(Resultat!$J$13:$J38=0)))+Resultat!$AA$6*(SUMPRODUCT((Resultat!$G$13:$G38=INDIRECT(F$1&amp;"!$O$16"))*(Resultat!$H$13:$H38=0))))</f>
        <v>0</v>
      </c>
    </row>
    <row r="478" spans="1:6" outlineLevel="1" x14ac:dyDescent="0.2">
      <c r="A478">
        <v>27</v>
      </c>
      <c r="B478">
        <f ca="1">IF(INDIRECT(B$1&amp;"!$K"&amp;$A478+12)="","",Resultat!$AA$6*(SUMPRODUCT((Resultat!$E$13:$E39=INDIRECT(B$1&amp;"!$O$16"))*(Resultat!$J$13:$J39=0)))+Resultat!$AA$6*(SUMPRODUCT((Resultat!$G$13:$G39=INDIRECT(B$1&amp;"!$O$16"))*(Resultat!$H$13:$H39=0))))</f>
        <v>2</v>
      </c>
      <c r="C478">
        <f ca="1">IF(INDIRECT(C$1&amp;"!$K"&amp;$A478+12)="","",Resultat!$AA$6*(SUMPRODUCT((Resultat!$E$13:$E39=INDIRECT(C$1&amp;"!$O$16"))*(Resultat!$J$13:$J39=0)))+Resultat!$AA$6*(SUMPRODUCT((Resultat!$G$13:$G39=INDIRECT(C$1&amp;"!$O$16"))*(Resultat!$H$13:$H39=0))))</f>
        <v>4</v>
      </c>
      <c r="D478">
        <f ca="1">IF(INDIRECT(D$1&amp;"!$K"&amp;$A478+12)="","",Resultat!$AA$6*(SUMPRODUCT((Resultat!$E$13:$E39=INDIRECT(D$1&amp;"!$O$16"))*(Resultat!$J$13:$J39=0)))+Resultat!$AA$6*(SUMPRODUCT((Resultat!$G$13:$G39=INDIRECT(D$1&amp;"!$O$16"))*(Resultat!$H$13:$H39=0))))</f>
        <v>4</v>
      </c>
      <c r="E478">
        <f ca="1">IF(INDIRECT(E$1&amp;"!$K"&amp;$A478+12)="","",Resultat!$AA$6*(SUMPRODUCT((Resultat!$E$13:$E39=INDIRECT(E$1&amp;"!$O$16"))*(Resultat!$J$13:$J39=0)))+Resultat!$AA$6*(SUMPRODUCT((Resultat!$G$13:$G39=INDIRECT(E$1&amp;"!$O$16"))*(Resultat!$H$13:$H39=0))))</f>
        <v>2</v>
      </c>
      <c r="F478">
        <f ca="1">IF(INDIRECT(F$1&amp;"!$K"&amp;$A478+12)="","",Resultat!$AA$6*(SUMPRODUCT((Resultat!$E$13:$E39=INDIRECT(F$1&amp;"!$O$16"))*(Resultat!$J$13:$J39=0)))+Resultat!$AA$6*(SUMPRODUCT((Resultat!$G$13:$G39=INDIRECT(F$1&amp;"!$O$16"))*(Resultat!$H$13:$H39=0))))</f>
        <v>0</v>
      </c>
    </row>
    <row r="479" spans="1:6" outlineLevel="1" x14ac:dyDescent="0.2">
      <c r="A479">
        <v>28</v>
      </c>
      <c r="B479">
        <f ca="1">IF(INDIRECT(B$1&amp;"!$K"&amp;$A479+12)="","",Resultat!$AA$6*(SUMPRODUCT((Resultat!$E$13:$E40=INDIRECT(B$1&amp;"!$O$16"))*(Resultat!$J$13:$J40=0)))+Resultat!$AA$6*(SUMPRODUCT((Resultat!$G$13:$G40=INDIRECT(B$1&amp;"!$O$16"))*(Resultat!$H$13:$H40=0))))</f>
        <v>2</v>
      </c>
      <c r="C479">
        <f ca="1">IF(INDIRECT(C$1&amp;"!$K"&amp;$A479+12)="","",Resultat!$AA$6*(SUMPRODUCT((Resultat!$E$13:$E40=INDIRECT(C$1&amp;"!$O$16"))*(Resultat!$J$13:$J40=0)))+Resultat!$AA$6*(SUMPRODUCT((Resultat!$G$13:$G40=INDIRECT(C$1&amp;"!$O$16"))*(Resultat!$H$13:$H40=0))))</f>
        <v>4</v>
      </c>
      <c r="D479">
        <f ca="1">IF(INDIRECT(D$1&amp;"!$K"&amp;$A479+12)="","",Resultat!$AA$6*(SUMPRODUCT((Resultat!$E$13:$E40=INDIRECT(D$1&amp;"!$O$16"))*(Resultat!$J$13:$J40=0)))+Resultat!$AA$6*(SUMPRODUCT((Resultat!$G$13:$G40=INDIRECT(D$1&amp;"!$O$16"))*(Resultat!$H$13:$H40=0))))</f>
        <v>4</v>
      </c>
      <c r="E479">
        <f ca="1">IF(INDIRECT(E$1&amp;"!$K"&amp;$A479+12)="","",Resultat!$AA$6*(SUMPRODUCT((Resultat!$E$13:$E40=INDIRECT(E$1&amp;"!$O$16"))*(Resultat!$J$13:$J40=0)))+Resultat!$AA$6*(SUMPRODUCT((Resultat!$G$13:$G40=INDIRECT(E$1&amp;"!$O$16"))*(Resultat!$H$13:$H40=0))))</f>
        <v>2</v>
      </c>
      <c r="F479">
        <f ca="1">IF(INDIRECT(F$1&amp;"!$K"&amp;$A479+12)="","",Resultat!$AA$6*(SUMPRODUCT((Resultat!$E$13:$E40=INDIRECT(F$1&amp;"!$O$16"))*(Resultat!$J$13:$J40=0)))+Resultat!$AA$6*(SUMPRODUCT((Resultat!$G$13:$G40=INDIRECT(F$1&amp;"!$O$16"))*(Resultat!$H$13:$H40=0))))</f>
        <v>0</v>
      </c>
    </row>
    <row r="480" spans="1:6" outlineLevel="1" x14ac:dyDescent="0.2">
      <c r="A480">
        <v>29</v>
      </c>
      <c r="B480">
        <f ca="1">IF(INDIRECT(B$1&amp;"!$K"&amp;$A480+12)="","",Resultat!$AA$6*(SUMPRODUCT((Resultat!$E$13:$E41=INDIRECT(B$1&amp;"!$O$16"))*(Resultat!$J$13:$J41=0)))+Resultat!$AA$6*(SUMPRODUCT((Resultat!$G$13:$G41=INDIRECT(B$1&amp;"!$O$16"))*(Resultat!$H$13:$H41=0))))</f>
        <v>2</v>
      </c>
      <c r="C480">
        <f ca="1">IF(INDIRECT(C$1&amp;"!$K"&amp;$A480+12)="","",Resultat!$AA$6*(SUMPRODUCT((Resultat!$E$13:$E41=INDIRECT(C$1&amp;"!$O$16"))*(Resultat!$J$13:$J41=0)))+Resultat!$AA$6*(SUMPRODUCT((Resultat!$G$13:$G41=INDIRECT(C$1&amp;"!$O$16"))*(Resultat!$H$13:$H41=0))))</f>
        <v>4</v>
      </c>
      <c r="D480">
        <f ca="1">IF(INDIRECT(D$1&amp;"!$K"&amp;$A480+12)="","",Resultat!$AA$6*(SUMPRODUCT((Resultat!$E$13:$E41=INDIRECT(D$1&amp;"!$O$16"))*(Resultat!$J$13:$J41=0)))+Resultat!$AA$6*(SUMPRODUCT((Resultat!$G$13:$G41=INDIRECT(D$1&amp;"!$O$16"))*(Resultat!$H$13:$H41=0))))</f>
        <v>4</v>
      </c>
      <c r="E480">
        <f ca="1">IF(INDIRECT(E$1&amp;"!$K"&amp;$A480+12)="","",Resultat!$AA$6*(SUMPRODUCT((Resultat!$E$13:$E41=INDIRECT(E$1&amp;"!$O$16"))*(Resultat!$J$13:$J41=0)))+Resultat!$AA$6*(SUMPRODUCT((Resultat!$G$13:$G41=INDIRECT(E$1&amp;"!$O$16"))*(Resultat!$H$13:$H41=0))))</f>
        <v>2</v>
      </c>
      <c r="F480">
        <f ca="1">IF(INDIRECT(F$1&amp;"!$K"&amp;$A480+12)="","",Resultat!$AA$6*(SUMPRODUCT((Resultat!$E$13:$E41=INDIRECT(F$1&amp;"!$O$16"))*(Resultat!$J$13:$J41=0)))+Resultat!$AA$6*(SUMPRODUCT((Resultat!$G$13:$G41=INDIRECT(F$1&amp;"!$O$16"))*(Resultat!$H$13:$H41=0))))</f>
        <v>0</v>
      </c>
    </row>
    <row r="481" spans="1:6" outlineLevel="1" x14ac:dyDescent="0.2">
      <c r="A481">
        <v>30</v>
      </c>
      <c r="B481">
        <f ca="1">IF(INDIRECT(B$1&amp;"!$K"&amp;$A481+12)="","",Resultat!$AA$6*(SUMPRODUCT((Resultat!$E$13:$E42=INDIRECT(B$1&amp;"!$O$16"))*(Resultat!$J$13:$J42=0)))+Resultat!$AA$6*(SUMPRODUCT((Resultat!$G$13:$G42=INDIRECT(B$1&amp;"!$O$16"))*(Resultat!$H$13:$H42=0))))</f>
        <v>2</v>
      </c>
      <c r="C481">
        <f ca="1">IF(INDIRECT(C$1&amp;"!$K"&amp;$A481+12)="","",Resultat!$AA$6*(SUMPRODUCT((Resultat!$E$13:$E42=INDIRECT(C$1&amp;"!$O$16"))*(Resultat!$J$13:$J42=0)))+Resultat!$AA$6*(SUMPRODUCT((Resultat!$G$13:$G42=INDIRECT(C$1&amp;"!$O$16"))*(Resultat!$H$13:$H42=0))))</f>
        <v>4</v>
      </c>
      <c r="D481">
        <f ca="1">IF(INDIRECT(D$1&amp;"!$K"&amp;$A481+12)="","",Resultat!$AA$6*(SUMPRODUCT((Resultat!$E$13:$E42=INDIRECT(D$1&amp;"!$O$16"))*(Resultat!$J$13:$J42=0)))+Resultat!$AA$6*(SUMPRODUCT((Resultat!$G$13:$G42=INDIRECT(D$1&amp;"!$O$16"))*(Resultat!$H$13:$H42=0))))</f>
        <v>4</v>
      </c>
      <c r="E481">
        <f ca="1">IF(INDIRECT(E$1&amp;"!$K"&amp;$A481+12)="","",Resultat!$AA$6*(SUMPRODUCT((Resultat!$E$13:$E42=INDIRECT(E$1&amp;"!$O$16"))*(Resultat!$J$13:$J42=0)))+Resultat!$AA$6*(SUMPRODUCT((Resultat!$G$13:$G42=INDIRECT(E$1&amp;"!$O$16"))*(Resultat!$H$13:$H42=0))))</f>
        <v>2</v>
      </c>
      <c r="F481">
        <f ca="1">IF(INDIRECT(F$1&amp;"!$K"&amp;$A481+12)="","",Resultat!$AA$6*(SUMPRODUCT((Resultat!$E$13:$E42=INDIRECT(F$1&amp;"!$O$16"))*(Resultat!$J$13:$J42=0)))+Resultat!$AA$6*(SUMPRODUCT((Resultat!$G$13:$G42=INDIRECT(F$1&amp;"!$O$16"))*(Resultat!$H$13:$H42=0))))</f>
        <v>0</v>
      </c>
    </row>
    <row r="482" spans="1:6" outlineLevel="1" x14ac:dyDescent="0.2">
      <c r="A482">
        <v>31</v>
      </c>
      <c r="B482">
        <f ca="1">IF(INDIRECT(B$1&amp;"!$K"&amp;$A482+12)="","",Resultat!$AA$6*(SUMPRODUCT((Resultat!$E$13:$E43=INDIRECT(B$1&amp;"!$O$16"))*(Resultat!$J$13:$J43=0)))+Resultat!$AA$6*(SUMPRODUCT((Resultat!$G$13:$G43=INDIRECT(B$1&amp;"!$O$16"))*(Resultat!$H$13:$H43=0))))</f>
        <v>2</v>
      </c>
      <c r="C482">
        <f ca="1">IF(INDIRECT(C$1&amp;"!$K"&amp;$A482+12)="","",Resultat!$AA$6*(SUMPRODUCT((Resultat!$E$13:$E43=INDIRECT(C$1&amp;"!$O$16"))*(Resultat!$J$13:$J43=0)))+Resultat!$AA$6*(SUMPRODUCT((Resultat!$G$13:$G43=INDIRECT(C$1&amp;"!$O$16"))*(Resultat!$H$13:$H43=0))))</f>
        <v>4</v>
      </c>
      <c r="D482">
        <f ca="1">IF(INDIRECT(D$1&amp;"!$K"&amp;$A482+12)="","",Resultat!$AA$6*(SUMPRODUCT((Resultat!$E$13:$E43=INDIRECT(D$1&amp;"!$O$16"))*(Resultat!$J$13:$J43=0)))+Resultat!$AA$6*(SUMPRODUCT((Resultat!$G$13:$G43=INDIRECT(D$1&amp;"!$O$16"))*(Resultat!$H$13:$H43=0))))</f>
        <v>4</v>
      </c>
      <c r="E482">
        <f ca="1">IF(INDIRECT(E$1&amp;"!$K"&amp;$A482+12)="","",Resultat!$AA$6*(SUMPRODUCT((Resultat!$E$13:$E43=INDIRECT(E$1&amp;"!$O$16"))*(Resultat!$J$13:$J43=0)))+Resultat!$AA$6*(SUMPRODUCT((Resultat!$G$13:$G43=INDIRECT(E$1&amp;"!$O$16"))*(Resultat!$H$13:$H43=0))))</f>
        <v>2</v>
      </c>
      <c r="F482">
        <f ca="1">IF(INDIRECT(F$1&amp;"!$K"&amp;$A482+12)="","",Resultat!$AA$6*(SUMPRODUCT((Resultat!$E$13:$E43=INDIRECT(F$1&amp;"!$O$16"))*(Resultat!$J$13:$J43=0)))+Resultat!$AA$6*(SUMPRODUCT((Resultat!$G$13:$G43=INDIRECT(F$1&amp;"!$O$16"))*(Resultat!$H$13:$H43=0))))</f>
        <v>0</v>
      </c>
    </row>
    <row r="483" spans="1:6" outlineLevel="1" x14ac:dyDescent="0.2">
      <c r="A483">
        <v>32</v>
      </c>
      <c r="B483" t="str">
        <f ca="1">IF(INDIRECT(B$1&amp;"!$K"&amp;$A483+12)="","",Resultat!$AA$6*(SUMPRODUCT((Resultat!$E$13:$E44=INDIRECT(B$1&amp;"!$O$16"))*(Resultat!$J$13:$J44=0)))+Resultat!$AA$6*(SUMPRODUCT((Resultat!$G$13:$G44=INDIRECT(B$1&amp;"!$O$16"))*(Resultat!$H$13:$H44=0))))</f>
        <v/>
      </c>
      <c r="C483" t="str">
        <f ca="1">IF(INDIRECT(C$1&amp;"!$K"&amp;$A483+12)="","",Resultat!$AA$6*(SUMPRODUCT((Resultat!$E$13:$E44=INDIRECT(C$1&amp;"!$O$16"))*(Resultat!$J$13:$J44=0)))+Resultat!$AA$6*(SUMPRODUCT((Resultat!$G$13:$G44=INDIRECT(C$1&amp;"!$O$16"))*(Resultat!$H$13:$H44=0))))</f>
        <v/>
      </c>
      <c r="D483" t="str">
        <f ca="1">IF(INDIRECT(D$1&amp;"!$K"&amp;$A483+12)="","",Resultat!$AA$6*(SUMPRODUCT((Resultat!$E$13:$E44=INDIRECT(D$1&amp;"!$O$16"))*(Resultat!$J$13:$J44=0)))+Resultat!$AA$6*(SUMPRODUCT((Resultat!$G$13:$G44=INDIRECT(D$1&amp;"!$O$16"))*(Resultat!$H$13:$H44=0))))</f>
        <v/>
      </c>
      <c r="E483" t="str">
        <f ca="1">IF(INDIRECT(E$1&amp;"!$K"&amp;$A483+12)="","",Resultat!$AA$6*(SUMPRODUCT((Resultat!$E$13:$E44=INDIRECT(E$1&amp;"!$O$16"))*(Resultat!$J$13:$J44=0)))+Resultat!$AA$6*(SUMPRODUCT((Resultat!$G$13:$G44=INDIRECT(E$1&amp;"!$O$16"))*(Resultat!$H$13:$H44=0))))</f>
        <v/>
      </c>
      <c r="F483" t="str">
        <f ca="1">IF(INDIRECT(F$1&amp;"!$K"&amp;$A483+12)="","",Resultat!$AA$6*(SUMPRODUCT((Resultat!$E$13:$E44=INDIRECT(F$1&amp;"!$O$16"))*(Resultat!$J$13:$J44=0)))+Resultat!$AA$6*(SUMPRODUCT((Resultat!$G$13:$G44=INDIRECT(F$1&amp;"!$O$16"))*(Resultat!$H$13:$H44=0))))</f>
        <v/>
      </c>
    </row>
    <row r="484" spans="1:6" outlineLevel="1" x14ac:dyDescent="0.2">
      <c r="A484">
        <v>33</v>
      </c>
      <c r="B484" t="str">
        <f ca="1">IF(INDIRECT(B$1&amp;"!$K"&amp;$A484+12)="","",Resultat!$AA$6*(SUMPRODUCT((Resultat!$E$13:$E45=INDIRECT(B$1&amp;"!$O$16"))*(Resultat!$J$13:$J45=0)))+Resultat!$AA$6*(SUMPRODUCT((Resultat!$G$13:$G45=INDIRECT(B$1&amp;"!$O$16"))*(Resultat!$H$13:$H45=0))))</f>
        <v/>
      </c>
      <c r="C484" t="str">
        <f ca="1">IF(INDIRECT(C$1&amp;"!$K"&amp;$A484+12)="","",Resultat!$AA$6*(SUMPRODUCT((Resultat!$E$13:$E45=INDIRECT(C$1&amp;"!$O$16"))*(Resultat!$J$13:$J45=0)))+Resultat!$AA$6*(SUMPRODUCT((Resultat!$G$13:$G45=INDIRECT(C$1&amp;"!$O$16"))*(Resultat!$H$13:$H45=0))))</f>
        <v/>
      </c>
      <c r="D484" t="str">
        <f ca="1">IF(INDIRECT(D$1&amp;"!$K"&amp;$A484+12)="","",Resultat!$AA$6*(SUMPRODUCT((Resultat!$E$13:$E45=INDIRECT(D$1&amp;"!$O$16"))*(Resultat!$J$13:$J45=0)))+Resultat!$AA$6*(SUMPRODUCT((Resultat!$G$13:$G45=INDIRECT(D$1&amp;"!$O$16"))*(Resultat!$H$13:$H45=0))))</f>
        <v/>
      </c>
      <c r="E484" t="str">
        <f ca="1">IF(INDIRECT(E$1&amp;"!$K"&amp;$A484+12)="","",Resultat!$AA$6*(SUMPRODUCT((Resultat!$E$13:$E45=INDIRECT(E$1&amp;"!$O$16"))*(Resultat!$J$13:$J45=0)))+Resultat!$AA$6*(SUMPRODUCT((Resultat!$G$13:$G45=INDIRECT(E$1&amp;"!$O$16"))*(Resultat!$H$13:$H45=0))))</f>
        <v/>
      </c>
      <c r="F484" t="str">
        <f ca="1">IF(INDIRECT(F$1&amp;"!$K"&amp;$A484+12)="","",Resultat!$AA$6*(SUMPRODUCT((Resultat!$E$13:$E45=INDIRECT(F$1&amp;"!$O$16"))*(Resultat!$J$13:$J45=0)))+Resultat!$AA$6*(SUMPRODUCT((Resultat!$G$13:$G45=INDIRECT(F$1&amp;"!$O$16"))*(Resultat!$H$13:$H45=0))))</f>
        <v/>
      </c>
    </row>
    <row r="485" spans="1:6" outlineLevel="1" x14ac:dyDescent="0.2">
      <c r="A485">
        <v>34</v>
      </c>
      <c r="B485" t="str">
        <f ca="1">IF(INDIRECT(B$1&amp;"!$K"&amp;$A485+12)="","",Resultat!$AA$6*(SUMPRODUCT((Resultat!$E$13:$E46=INDIRECT(B$1&amp;"!$O$16"))*(Resultat!$J$13:$J46=0)))+Resultat!$AA$6*(SUMPRODUCT((Resultat!$G$13:$G46=INDIRECT(B$1&amp;"!$O$16"))*(Resultat!$H$13:$H46=0))))</f>
        <v/>
      </c>
      <c r="C485" t="str">
        <f ca="1">IF(INDIRECT(C$1&amp;"!$K"&amp;$A485+12)="","",Resultat!$AA$6*(SUMPRODUCT((Resultat!$E$13:$E46=INDIRECT(C$1&amp;"!$O$16"))*(Resultat!$J$13:$J46=0)))+Resultat!$AA$6*(SUMPRODUCT((Resultat!$G$13:$G46=INDIRECT(C$1&amp;"!$O$16"))*(Resultat!$H$13:$H46=0))))</f>
        <v/>
      </c>
      <c r="D485" t="str">
        <f ca="1">IF(INDIRECT(D$1&amp;"!$K"&amp;$A485+12)="","",Resultat!$AA$6*(SUMPRODUCT((Resultat!$E$13:$E46=INDIRECT(D$1&amp;"!$O$16"))*(Resultat!$J$13:$J46=0)))+Resultat!$AA$6*(SUMPRODUCT((Resultat!$G$13:$G46=INDIRECT(D$1&amp;"!$O$16"))*(Resultat!$H$13:$H46=0))))</f>
        <v/>
      </c>
      <c r="E485" t="str">
        <f ca="1">IF(INDIRECT(E$1&amp;"!$K"&amp;$A485+12)="","",Resultat!$AA$6*(SUMPRODUCT((Resultat!$E$13:$E46=INDIRECT(E$1&amp;"!$O$16"))*(Resultat!$J$13:$J46=0)))+Resultat!$AA$6*(SUMPRODUCT((Resultat!$G$13:$G46=INDIRECT(E$1&amp;"!$O$16"))*(Resultat!$H$13:$H46=0))))</f>
        <v/>
      </c>
      <c r="F485" t="str">
        <f ca="1">IF(INDIRECT(F$1&amp;"!$K"&amp;$A485+12)="","",Resultat!$AA$6*(SUMPRODUCT((Resultat!$E$13:$E46=INDIRECT(F$1&amp;"!$O$16"))*(Resultat!$J$13:$J46=0)))+Resultat!$AA$6*(SUMPRODUCT((Resultat!$G$13:$G46=INDIRECT(F$1&amp;"!$O$16"))*(Resultat!$H$13:$H46=0))))</f>
        <v/>
      </c>
    </row>
    <row r="486" spans="1:6" outlineLevel="1" x14ac:dyDescent="0.2">
      <c r="A486">
        <v>35</v>
      </c>
      <c r="B486" t="str">
        <f ca="1">IF(INDIRECT(B$1&amp;"!$K"&amp;$A486+12)="","",Resultat!$AA$6*(SUMPRODUCT((Resultat!$E$13:$E47=INDIRECT(B$1&amp;"!$O$16"))*(Resultat!$J$13:$J47=0)))+Resultat!$AA$6*(SUMPRODUCT((Resultat!$G$13:$G47=INDIRECT(B$1&amp;"!$O$16"))*(Resultat!$H$13:$H47=0))))</f>
        <v/>
      </c>
      <c r="C486" t="str">
        <f ca="1">IF(INDIRECT(C$1&amp;"!$K"&amp;$A486+12)="","",Resultat!$AA$6*(SUMPRODUCT((Resultat!$E$13:$E47=INDIRECT(C$1&amp;"!$O$16"))*(Resultat!$J$13:$J47=0)))+Resultat!$AA$6*(SUMPRODUCT((Resultat!$G$13:$G47=INDIRECT(C$1&amp;"!$O$16"))*(Resultat!$H$13:$H47=0))))</f>
        <v/>
      </c>
      <c r="D486" t="str">
        <f ca="1">IF(INDIRECT(D$1&amp;"!$K"&amp;$A486+12)="","",Resultat!$AA$6*(SUMPRODUCT((Resultat!$E$13:$E47=INDIRECT(D$1&amp;"!$O$16"))*(Resultat!$J$13:$J47=0)))+Resultat!$AA$6*(SUMPRODUCT((Resultat!$G$13:$G47=INDIRECT(D$1&amp;"!$O$16"))*(Resultat!$H$13:$H47=0))))</f>
        <v/>
      </c>
      <c r="E486" t="str">
        <f ca="1">IF(INDIRECT(E$1&amp;"!$K"&amp;$A486+12)="","",Resultat!$AA$6*(SUMPRODUCT((Resultat!$E$13:$E47=INDIRECT(E$1&amp;"!$O$16"))*(Resultat!$J$13:$J47=0)))+Resultat!$AA$6*(SUMPRODUCT((Resultat!$G$13:$G47=INDIRECT(E$1&amp;"!$O$16"))*(Resultat!$H$13:$H47=0))))</f>
        <v/>
      </c>
      <c r="F486" t="str">
        <f ca="1">IF(INDIRECT(F$1&amp;"!$K"&amp;$A486+12)="","",Resultat!$AA$6*(SUMPRODUCT((Resultat!$E$13:$E47=INDIRECT(F$1&amp;"!$O$16"))*(Resultat!$J$13:$J47=0)))+Resultat!$AA$6*(SUMPRODUCT((Resultat!$G$13:$G47=INDIRECT(F$1&amp;"!$O$16"))*(Resultat!$H$13:$H47=0))))</f>
        <v/>
      </c>
    </row>
    <row r="487" spans="1:6" outlineLevel="1" x14ac:dyDescent="0.2">
      <c r="A487">
        <v>36</v>
      </c>
      <c r="B487" t="str">
        <f ca="1">IF(INDIRECT(B$1&amp;"!$K"&amp;$A487+12)="","",Resultat!$AA$6*(SUMPRODUCT((Resultat!$E$13:$E48=INDIRECT(B$1&amp;"!$O$16"))*(Resultat!$J$13:$J48=0)))+Resultat!$AA$6*(SUMPRODUCT((Resultat!$G$13:$G48=INDIRECT(B$1&amp;"!$O$16"))*(Resultat!$H$13:$H48=0))))</f>
        <v/>
      </c>
      <c r="C487" t="str">
        <f ca="1">IF(INDIRECT(C$1&amp;"!$K"&amp;$A487+12)="","",Resultat!$AA$6*(SUMPRODUCT((Resultat!$E$13:$E48=INDIRECT(C$1&amp;"!$O$16"))*(Resultat!$J$13:$J48=0)))+Resultat!$AA$6*(SUMPRODUCT((Resultat!$G$13:$G48=INDIRECT(C$1&amp;"!$O$16"))*(Resultat!$H$13:$H48=0))))</f>
        <v/>
      </c>
      <c r="D487" t="str">
        <f ca="1">IF(INDIRECT(D$1&amp;"!$K"&amp;$A487+12)="","",Resultat!$AA$6*(SUMPRODUCT((Resultat!$E$13:$E48=INDIRECT(D$1&amp;"!$O$16"))*(Resultat!$J$13:$J48=0)))+Resultat!$AA$6*(SUMPRODUCT((Resultat!$G$13:$G48=INDIRECT(D$1&amp;"!$O$16"))*(Resultat!$H$13:$H48=0))))</f>
        <v/>
      </c>
      <c r="E487" t="str">
        <f ca="1">IF(INDIRECT(E$1&amp;"!$K"&amp;$A487+12)="","",Resultat!$AA$6*(SUMPRODUCT((Resultat!$E$13:$E48=INDIRECT(E$1&amp;"!$O$16"))*(Resultat!$J$13:$J48=0)))+Resultat!$AA$6*(SUMPRODUCT((Resultat!$G$13:$G48=INDIRECT(E$1&amp;"!$O$16"))*(Resultat!$H$13:$H48=0))))</f>
        <v/>
      </c>
      <c r="F487" t="str">
        <f ca="1">IF(INDIRECT(F$1&amp;"!$K"&amp;$A487+12)="","",Resultat!$AA$6*(SUMPRODUCT((Resultat!$E$13:$E48=INDIRECT(F$1&amp;"!$O$16"))*(Resultat!$J$13:$J48=0)))+Resultat!$AA$6*(SUMPRODUCT((Resultat!$G$13:$G48=INDIRECT(F$1&amp;"!$O$16"))*(Resultat!$H$13:$H48=0))))</f>
        <v/>
      </c>
    </row>
    <row r="488" spans="1:6" outlineLevel="1" x14ac:dyDescent="0.2">
      <c r="A488">
        <v>37</v>
      </c>
      <c r="B488" t="str">
        <f ca="1">IF(INDIRECT(B$1&amp;"!$K"&amp;$A488+12)="","",Resultat!$AA$6*(SUMPRODUCT((Resultat!$E$13:$E49=INDIRECT(B$1&amp;"!$O$16"))*(Resultat!$J$13:$J49=0)))+Resultat!$AA$6*(SUMPRODUCT((Resultat!$G$13:$G49=INDIRECT(B$1&amp;"!$O$16"))*(Resultat!$H$13:$H49=0))))</f>
        <v/>
      </c>
      <c r="C488" t="str">
        <f ca="1">IF(INDIRECT(C$1&amp;"!$K"&amp;$A488+12)="","",Resultat!$AA$6*(SUMPRODUCT((Resultat!$E$13:$E49=INDIRECT(C$1&amp;"!$O$16"))*(Resultat!$J$13:$J49=0)))+Resultat!$AA$6*(SUMPRODUCT((Resultat!$G$13:$G49=INDIRECT(C$1&amp;"!$O$16"))*(Resultat!$H$13:$H49=0))))</f>
        <v/>
      </c>
      <c r="D488" t="str">
        <f ca="1">IF(INDIRECT(D$1&amp;"!$K"&amp;$A488+12)="","",Resultat!$AA$6*(SUMPRODUCT((Resultat!$E$13:$E49=INDIRECT(D$1&amp;"!$O$16"))*(Resultat!$J$13:$J49=0)))+Resultat!$AA$6*(SUMPRODUCT((Resultat!$G$13:$G49=INDIRECT(D$1&amp;"!$O$16"))*(Resultat!$H$13:$H49=0))))</f>
        <v/>
      </c>
      <c r="E488" t="str">
        <f ca="1">IF(INDIRECT(E$1&amp;"!$K"&amp;$A488+12)="","",Resultat!$AA$6*(SUMPRODUCT((Resultat!$E$13:$E49=INDIRECT(E$1&amp;"!$O$16"))*(Resultat!$J$13:$J49=0)))+Resultat!$AA$6*(SUMPRODUCT((Resultat!$G$13:$G49=INDIRECT(E$1&amp;"!$O$16"))*(Resultat!$H$13:$H49=0))))</f>
        <v/>
      </c>
      <c r="F488" t="str">
        <f ca="1">IF(INDIRECT(F$1&amp;"!$K"&amp;$A488+12)="","",Resultat!$AA$6*(SUMPRODUCT((Resultat!$E$13:$E49=INDIRECT(F$1&amp;"!$O$16"))*(Resultat!$J$13:$J49=0)))+Resultat!$AA$6*(SUMPRODUCT((Resultat!$G$13:$G49=INDIRECT(F$1&amp;"!$O$16"))*(Resultat!$H$13:$H49=0))))</f>
        <v/>
      </c>
    </row>
    <row r="489" spans="1:6" outlineLevel="1" x14ac:dyDescent="0.2">
      <c r="A489">
        <v>38</v>
      </c>
      <c r="B489" t="str">
        <f ca="1">IF(INDIRECT(B$1&amp;"!$K"&amp;$A489+12)="","",Resultat!$AA$6*(SUMPRODUCT((Resultat!$E$13:$E50=INDIRECT(B$1&amp;"!$O$16"))*(Resultat!$J$13:$J50=0)))+Resultat!$AA$6*(SUMPRODUCT((Resultat!$G$13:$G50=INDIRECT(B$1&amp;"!$O$16"))*(Resultat!$H$13:$H50=0))))</f>
        <v/>
      </c>
      <c r="C489" t="str">
        <f ca="1">IF(INDIRECT(C$1&amp;"!$K"&amp;$A489+12)="","",Resultat!$AA$6*(SUMPRODUCT((Resultat!$E$13:$E50=INDIRECT(C$1&amp;"!$O$16"))*(Resultat!$J$13:$J50=0)))+Resultat!$AA$6*(SUMPRODUCT((Resultat!$G$13:$G50=INDIRECT(C$1&amp;"!$O$16"))*(Resultat!$H$13:$H50=0))))</f>
        <v/>
      </c>
      <c r="D489" t="str">
        <f ca="1">IF(INDIRECT(D$1&amp;"!$K"&amp;$A489+12)="","",Resultat!$AA$6*(SUMPRODUCT((Resultat!$E$13:$E50=INDIRECT(D$1&amp;"!$O$16"))*(Resultat!$J$13:$J50=0)))+Resultat!$AA$6*(SUMPRODUCT((Resultat!$G$13:$G50=INDIRECT(D$1&amp;"!$O$16"))*(Resultat!$H$13:$H50=0))))</f>
        <v/>
      </c>
      <c r="E489" t="str">
        <f ca="1">IF(INDIRECT(E$1&amp;"!$K"&amp;$A489+12)="","",Resultat!$AA$6*(SUMPRODUCT((Resultat!$E$13:$E50=INDIRECT(E$1&amp;"!$O$16"))*(Resultat!$J$13:$J50=0)))+Resultat!$AA$6*(SUMPRODUCT((Resultat!$G$13:$G50=INDIRECT(E$1&amp;"!$O$16"))*(Resultat!$H$13:$H50=0))))</f>
        <v/>
      </c>
      <c r="F489" t="str">
        <f ca="1">IF(INDIRECT(F$1&amp;"!$K"&amp;$A489+12)="","",Resultat!$AA$6*(SUMPRODUCT((Resultat!$E$13:$E50=INDIRECT(F$1&amp;"!$O$16"))*(Resultat!$J$13:$J50=0)))+Resultat!$AA$6*(SUMPRODUCT((Resultat!$G$13:$G50=INDIRECT(F$1&amp;"!$O$16"))*(Resultat!$H$13:$H50=0))))</f>
        <v/>
      </c>
    </row>
    <row r="490" spans="1:6" outlineLevel="1" x14ac:dyDescent="0.2">
      <c r="A490">
        <v>39</v>
      </c>
      <c r="B490" t="str">
        <f ca="1">IF(INDIRECT(B$1&amp;"!$K"&amp;$A490+12)="","",Resultat!$AA$6*(SUMPRODUCT((Resultat!$E$13:$E51=INDIRECT(B$1&amp;"!$O$16"))*(Resultat!$J$13:$J51=0)))+Resultat!$AA$6*(SUMPRODUCT((Resultat!$G$13:$G51=INDIRECT(B$1&amp;"!$O$16"))*(Resultat!$H$13:$H51=0))))</f>
        <v/>
      </c>
      <c r="C490" t="str">
        <f ca="1">IF(INDIRECT(C$1&amp;"!$K"&amp;$A490+12)="","",Resultat!$AA$6*(SUMPRODUCT((Resultat!$E$13:$E51=INDIRECT(C$1&amp;"!$O$16"))*(Resultat!$J$13:$J51=0)))+Resultat!$AA$6*(SUMPRODUCT((Resultat!$G$13:$G51=INDIRECT(C$1&amp;"!$O$16"))*(Resultat!$H$13:$H51=0))))</f>
        <v/>
      </c>
      <c r="D490" t="str">
        <f ca="1">IF(INDIRECT(D$1&amp;"!$K"&amp;$A490+12)="","",Resultat!$AA$6*(SUMPRODUCT((Resultat!$E$13:$E51=INDIRECT(D$1&amp;"!$O$16"))*(Resultat!$J$13:$J51=0)))+Resultat!$AA$6*(SUMPRODUCT((Resultat!$G$13:$G51=INDIRECT(D$1&amp;"!$O$16"))*(Resultat!$H$13:$H51=0))))</f>
        <v/>
      </c>
      <c r="E490" t="str">
        <f ca="1">IF(INDIRECT(E$1&amp;"!$K"&amp;$A490+12)="","",Resultat!$AA$6*(SUMPRODUCT((Resultat!$E$13:$E51=INDIRECT(E$1&amp;"!$O$16"))*(Resultat!$J$13:$J51=0)))+Resultat!$AA$6*(SUMPRODUCT((Resultat!$G$13:$G51=INDIRECT(E$1&amp;"!$O$16"))*(Resultat!$H$13:$H51=0))))</f>
        <v/>
      </c>
      <c r="F490" t="str">
        <f ca="1">IF(INDIRECT(F$1&amp;"!$K"&amp;$A490+12)="","",Resultat!$AA$6*(SUMPRODUCT((Resultat!$E$13:$E51=INDIRECT(F$1&amp;"!$O$16"))*(Resultat!$J$13:$J51=0)))+Resultat!$AA$6*(SUMPRODUCT((Resultat!$G$13:$G51=INDIRECT(F$1&amp;"!$O$16"))*(Resultat!$H$13:$H51=0))))</f>
        <v/>
      </c>
    </row>
    <row r="491" spans="1:6" outlineLevel="1" x14ac:dyDescent="0.2">
      <c r="A491">
        <v>40</v>
      </c>
      <c r="B491" t="str">
        <f ca="1">IF(INDIRECT(B$1&amp;"!$K"&amp;$A491+12)="","",Resultat!$AA$6*(SUMPRODUCT((Resultat!$E$13:$E52=INDIRECT(B$1&amp;"!$O$16"))*(Resultat!$J$13:$J52=0)))+Resultat!$AA$6*(SUMPRODUCT((Resultat!$G$13:$G52=INDIRECT(B$1&amp;"!$O$16"))*(Resultat!$H$13:$H52=0))))</f>
        <v/>
      </c>
      <c r="C491" t="str">
        <f ca="1">IF(INDIRECT(C$1&amp;"!$K"&amp;$A491+12)="","",Resultat!$AA$6*(SUMPRODUCT((Resultat!$E$13:$E52=INDIRECT(C$1&amp;"!$O$16"))*(Resultat!$J$13:$J52=0)))+Resultat!$AA$6*(SUMPRODUCT((Resultat!$G$13:$G52=INDIRECT(C$1&amp;"!$O$16"))*(Resultat!$H$13:$H52=0))))</f>
        <v/>
      </c>
      <c r="D491" t="str">
        <f ca="1">IF(INDIRECT(D$1&amp;"!$K"&amp;$A491+12)="","",Resultat!$AA$6*(SUMPRODUCT((Resultat!$E$13:$E52=INDIRECT(D$1&amp;"!$O$16"))*(Resultat!$J$13:$J52=0)))+Resultat!$AA$6*(SUMPRODUCT((Resultat!$G$13:$G52=INDIRECT(D$1&amp;"!$O$16"))*(Resultat!$H$13:$H52=0))))</f>
        <v/>
      </c>
      <c r="E491" t="str">
        <f ca="1">IF(INDIRECT(E$1&amp;"!$K"&amp;$A491+12)="","",Resultat!$AA$6*(SUMPRODUCT((Resultat!$E$13:$E52=INDIRECT(E$1&amp;"!$O$16"))*(Resultat!$J$13:$J52=0)))+Resultat!$AA$6*(SUMPRODUCT((Resultat!$G$13:$G52=INDIRECT(E$1&amp;"!$O$16"))*(Resultat!$H$13:$H52=0))))</f>
        <v/>
      </c>
      <c r="F491" t="str">
        <f ca="1">IF(INDIRECT(F$1&amp;"!$K"&amp;$A491+12)="","",Resultat!$AA$6*(SUMPRODUCT((Resultat!$E$13:$E52=INDIRECT(F$1&amp;"!$O$16"))*(Resultat!$J$13:$J52=0)))+Resultat!$AA$6*(SUMPRODUCT((Resultat!$G$13:$G52=INDIRECT(F$1&amp;"!$O$16"))*(Resultat!$H$13:$H52=0))))</f>
        <v/>
      </c>
    </row>
    <row r="492" spans="1:6" outlineLevel="1" x14ac:dyDescent="0.2">
      <c r="A492">
        <v>41</v>
      </c>
      <c r="B492" t="str">
        <f ca="1">IF(INDIRECT(B$1&amp;"!$K"&amp;$A492+12)="","",Resultat!$AA$6*(SUMPRODUCT((Resultat!$E$13:$E53=INDIRECT(B$1&amp;"!$O$16"))*(Resultat!$J$13:$J53=0)))+Resultat!$AA$6*(SUMPRODUCT((Resultat!$G$13:$G53=INDIRECT(B$1&amp;"!$O$16"))*(Resultat!$H$13:$H53=0))))</f>
        <v/>
      </c>
      <c r="C492" t="str">
        <f ca="1">IF(INDIRECT(C$1&amp;"!$K"&amp;$A492+12)="","",Resultat!$AA$6*(SUMPRODUCT((Resultat!$E$13:$E53=INDIRECT(C$1&amp;"!$O$16"))*(Resultat!$J$13:$J53=0)))+Resultat!$AA$6*(SUMPRODUCT((Resultat!$G$13:$G53=INDIRECT(C$1&amp;"!$O$16"))*(Resultat!$H$13:$H53=0))))</f>
        <v/>
      </c>
      <c r="D492" t="str">
        <f ca="1">IF(INDIRECT(D$1&amp;"!$K"&amp;$A492+12)="","",Resultat!$AA$6*(SUMPRODUCT((Resultat!$E$13:$E53=INDIRECT(D$1&amp;"!$O$16"))*(Resultat!$J$13:$J53=0)))+Resultat!$AA$6*(SUMPRODUCT((Resultat!$G$13:$G53=INDIRECT(D$1&amp;"!$O$16"))*(Resultat!$H$13:$H53=0))))</f>
        <v/>
      </c>
      <c r="E492" t="str">
        <f ca="1">IF(INDIRECT(E$1&amp;"!$K"&amp;$A492+12)="","",Resultat!$AA$6*(SUMPRODUCT((Resultat!$E$13:$E53=INDIRECT(E$1&amp;"!$O$16"))*(Resultat!$J$13:$J53=0)))+Resultat!$AA$6*(SUMPRODUCT((Resultat!$G$13:$G53=INDIRECT(E$1&amp;"!$O$16"))*(Resultat!$H$13:$H53=0))))</f>
        <v/>
      </c>
      <c r="F492" t="str">
        <f ca="1">IF(INDIRECT(F$1&amp;"!$K"&amp;$A492+12)="","",Resultat!$AA$6*(SUMPRODUCT((Resultat!$E$13:$E53=INDIRECT(F$1&amp;"!$O$16"))*(Resultat!$J$13:$J53=0)))+Resultat!$AA$6*(SUMPRODUCT((Resultat!$G$13:$G53=INDIRECT(F$1&amp;"!$O$16"))*(Resultat!$H$13:$H53=0))))</f>
        <v/>
      </c>
    </row>
    <row r="493" spans="1:6" outlineLevel="1" x14ac:dyDescent="0.2">
      <c r="A493">
        <v>42</v>
      </c>
      <c r="B493" t="str">
        <f ca="1">IF(INDIRECT(B$1&amp;"!$K"&amp;$A493+12)="","",Resultat!$AA$6*(SUMPRODUCT((Resultat!$E$13:$E54=INDIRECT(B$1&amp;"!$O$16"))*(Resultat!$J$13:$J54=0)))+Resultat!$AA$6*(SUMPRODUCT((Resultat!$G$13:$G54=INDIRECT(B$1&amp;"!$O$16"))*(Resultat!$H$13:$H54=0))))</f>
        <v/>
      </c>
      <c r="C493" t="str">
        <f ca="1">IF(INDIRECT(C$1&amp;"!$K"&amp;$A493+12)="","",Resultat!$AA$6*(SUMPRODUCT((Resultat!$E$13:$E54=INDIRECT(C$1&amp;"!$O$16"))*(Resultat!$J$13:$J54=0)))+Resultat!$AA$6*(SUMPRODUCT((Resultat!$G$13:$G54=INDIRECT(C$1&amp;"!$O$16"))*(Resultat!$H$13:$H54=0))))</f>
        <v/>
      </c>
      <c r="D493" t="str">
        <f ca="1">IF(INDIRECT(D$1&amp;"!$K"&amp;$A493+12)="","",Resultat!$AA$6*(SUMPRODUCT((Resultat!$E$13:$E54=INDIRECT(D$1&amp;"!$O$16"))*(Resultat!$J$13:$J54=0)))+Resultat!$AA$6*(SUMPRODUCT((Resultat!$G$13:$G54=INDIRECT(D$1&amp;"!$O$16"))*(Resultat!$H$13:$H54=0))))</f>
        <v/>
      </c>
      <c r="E493" t="str">
        <f ca="1">IF(INDIRECT(E$1&amp;"!$K"&amp;$A493+12)="","",Resultat!$AA$6*(SUMPRODUCT((Resultat!$E$13:$E54=INDIRECT(E$1&amp;"!$O$16"))*(Resultat!$J$13:$J54=0)))+Resultat!$AA$6*(SUMPRODUCT((Resultat!$G$13:$G54=INDIRECT(E$1&amp;"!$O$16"))*(Resultat!$H$13:$H54=0))))</f>
        <v/>
      </c>
      <c r="F493" t="str">
        <f ca="1">IF(INDIRECT(F$1&amp;"!$K"&amp;$A493+12)="","",Resultat!$AA$6*(SUMPRODUCT((Resultat!$E$13:$E54=INDIRECT(F$1&amp;"!$O$16"))*(Resultat!$J$13:$J54=0)))+Resultat!$AA$6*(SUMPRODUCT((Resultat!$G$13:$G54=INDIRECT(F$1&amp;"!$O$16"))*(Resultat!$H$13:$H54=0))))</f>
        <v/>
      </c>
    </row>
    <row r="494" spans="1:6" outlineLevel="1" x14ac:dyDescent="0.2">
      <c r="A494">
        <v>43</v>
      </c>
      <c r="B494" t="str">
        <f ca="1">IF(INDIRECT(B$1&amp;"!$K"&amp;$A494+12)="","",Resultat!$AA$6*(SUMPRODUCT((Resultat!$E$13:$E55=INDIRECT(B$1&amp;"!$O$16"))*(Resultat!$J$13:$J55=0)))+Resultat!$AA$6*(SUMPRODUCT((Resultat!$G$13:$G55=INDIRECT(B$1&amp;"!$O$16"))*(Resultat!$H$13:$H55=0))))</f>
        <v/>
      </c>
      <c r="C494" t="str">
        <f ca="1">IF(INDIRECT(C$1&amp;"!$K"&amp;$A494+12)="","",Resultat!$AA$6*(SUMPRODUCT((Resultat!$E$13:$E55=INDIRECT(C$1&amp;"!$O$16"))*(Resultat!$J$13:$J55=0)))+Resultat!$AA$6*(SUMPRODUCT((Resultat!$G$13:$G55=INDIRECT(C$1&amp;"!$O$16"))*(Resultat!$H$13:$H55=0))))</f>
        <v/>
      </c>
      <c r="D494" t="str">
        <f ca="1">IF(INDIRECT(D$1&amp;"!$K"&amp;$A494+12)="","",Resultat!$AA$6*(SUMPRODUCT((Resultat!$E$13:$E55=INDIRECT(D$1&amp;"!$O$16"))*(Resultat!$J$13:$J55=0)))+Resultat!$AA$6*(SUMPRODUCT((Resultat!$G$13:$G55=INDIRECT(D$1&amp;"!$O$16"))*(Resultat!$H$13:$H55=0))))</f>
        <v/>
      </c>
      <c r="E494" t="str">
        <f ca="1">IF(INDIRECT(E$1&amp;"!$K"&amp;$A494+12)="","",Resultat!$AA$6*(SUMPRODUCT((Resultat!$E$13:$E55=INDIRECT(E$1&amp;"!$O$16"))*(Resultat!$J$13:$J55=0)))+Resultat!$AA$6*(SUMPRODUCT((Resultat!$G$13:$G55=INDIRECT(E$1&amp;"!$O$16"))*(Resultat!$H$13:$H55=0))))</f>
        <v/>
      </c>
      <c r="F494" t="str">
        <f ca="1">IF(INDIRECT(F$1&amp;"!$K"&amp;$A494+12)="","",Resultat!$AA$6*(SUMPRODUCT((Resultat!$E$13:$E55=INDIRECT(F$1&amp;"!$O$16"))*(Resultat!$J$13:$J55=0)))+Resultat!$AA$6*(SUMPRODUCT((Resultat!$G$13:$G55=INDIRECT(F$1&amp;"!$O$16"))*(Resultat!$H$13:$H55=0))))</f>
        <v/>
      </c>
    </row>
    <row r="495" spans="1:6" outlineLevel="1" x14ac:dyDescent="0.2">
      <c r="A495">
        <v>44</v>
      </c>
      <c r="B495" t="str">
        <f ca="1">IF(INDIRECT(B$1&amp;"!$K"&amp;$A495+12)="","",Resultat!$AA$6*(SUMPRODUCT((Resultat!$E$13:$E56=INDIRECT(B$1&amp;"!$O$16"))*(Resultat!$J$13:$J56=0)))+Resultat!$AA$6*(SUMPRODUCT((Resultat!$G$13:$G56=INDIRECT(B$1&amp;"!$O$16"))*(Resultat!$H$13:$H56=0))))</f>
        <v/>
      </c>
      <c r="C495" t="str">
        <f ca="1">IF(INDIRECT(C$1&amp;"!$K"&amp;$A495+12)="","",Resultat!$AA$6*(SUMPRODUCT((Resultat!$E$13:$E56=INDIRECT(C$1&amp;"!$O$16"))*(Resultat!$J$13:$J56=0)))+Resultat!$AA$6*(SUMPRODUCT((Resultat!$G$13:$G56=INDIRECT(C$1&amp;"!$O$16"))*(Resultat!$H$13:$H56=0))))</f>
        <v/>
      </c>
      <c r="D495" t="str">
        <f ca="1">IF(INDIRECT(D$1&amp;"!$K"&amp;$A495+12)="","",Resultat!$AA$6*(SUMPRODUCT((Resultat!$E$13:$E56=INDIRECT(D$1&amp;"!$O$16"))*(Resultat!$J$13:$J56=0)))+Resultat!$AA$6*(SUMPRODUCT((Resultat!$G$13:$G56=INDIRECT(D$1&amp;"!$O$16"))*(Resultat!$H$13:$H56=0))))</f>
        <v/>
      </c>
      <c r="E495" t="str">
        <f ca="1">IF(INDIRECT(E$1&amp;"!$K"&amp;$A495+12)="","",Resultat!$AA$6*(SUMPRODUCT((Resultat!$E$13:$E56=INDIRECT(E$1&amp;"!$O$16"))*(Resultat!$J$13:$J56=0)))+Resultat!$AA$6*(SUMPRODUCT((Resultat!$G$13:$G56=INDIRECT(E$1&amp;"!$O$16"))*(Resultat!$H$13:$H56=0))))</f>
        <v/>
      </c>
      <c r="F495" t="str">
        <f ca="1">IF(INDIRECT(F$1&amp;"!$K"&amp;$A495+12)="","",Resultat!$AA$6*(SUMPRODUCT((Resultat!$E$13:$E56=INDIRECT(F$1&amp;"!$O$16"))*(Resultat!$J$13:$J56=0)))+Resultat!$AA$6*(SUMPRODUCT((Resultat!$G$13:$G56=INDIRECT(F$1&amp;"!$O$16"))*(Resultat!$H$13:$H56=0))))</f>
        <v/>
      </c>
    </row>
    <row r="496" spans="1:6" outlineLevel="1" x14ac:dyDescent="0.2">
      <c r="A496">
        <v>45</v>
      </c>
      <c r="B496" t="str">
        <f ca="1">IF(INDIRECT(B$1&amp;"!$K"&amp;$A496+12)="","",Resultat!$AA$6*(SUMPRODUCT((Resultat!$E$13:$E57=INDIRECT(B$1&amp;"!$O$16"))*(Resultat!$J$13:$J57=0)))+Resultat!$AA$6*(SUMPRODUCT((Resultat!$G$13:$G57=INDIRECT(B$1&amp;"!$O$16"))*(Resultat!$H$13:$H57=0))))</f>
        <v/>
      </c>
      <c r="C496" t="str">
        <f ca="1">IF(INDIRECT(C$1&amp;"!$K"&amp;$A496+12)="","",Resultat!$AA$6*(SUMPRODUCT((Resultat!$E$13:$E57=INDIRECT(C$1&amp;"!$O$16"))*(Resultat!$J$13:$J57=0)))+Resultat!$AA$6*(SUMPRODUCT((Resultat!$G$13:$G57=INDIRECT(C$1&amp;"!$O$16"))*(Resultat!$H$13:$H57=0))))</f>
        <v/>
      </c>
      <c r="D496" t="str">
        <f ca="1">IF(INDIRECT(D$1&amp;"!$K"&amp;$A496+12)="","",Resultat!$AA$6*(SUMPRODUCT((Resultat!$E$13:$E57=INDIRECT(D$1&amp;"!$O$16"))*(Resultat!$J$13:$J57=0)))+Resultat!$AA$6*(SUMPRODUCT((Resultat!$G$13:$G57=INDIRECT(D$1&amp;"!$O$16"))*(Resultat!$H$13:$H57=0))))</f>
        <v/>
      </c>
      <c r="E496" t="str">
        <f ca="1">IF(INDIRECT(E$1&amp;"!$K"&amp;$A496+12)="","",Resultat!$AA$6*(SUMPRODUCT((Resultat!$E$13:$E57=INDIRECT(E$1&amp;"!$O$16"))*(Resultat!$J$13:$J57=0)))+Resultat!$AA$6*(SUMPRODUCT((Resultat!$G$13:$G57=INDIRECT(E$1&amp;"!$O$16"))*(Resultat!$H$13:$H57=0))))</f>
        <v/>
      </c>
      <c r="F496" t="str">
        <f ca="1">IF(INDIRECT(F$1&amp;"!$K"&amp;$A496+12)="","",Resultat!$AA$6*(SUMPRODUCT((Resultat!$E$13:$E57=INDIRECT(F$1&amp;"!$O$16"))*(Resultat!$J$13:$J57=0)))+Resultat!$AA$6*(SUMPRODUCT((Resultat!$G$13:$G57=INDIRECT(F$1&amp;"!$O$16"))*(Resultat!$H$13:$H57=0))))</f>
        <v/>
      </c>
    </row>
    <row r="497" spans="1:9" outlineLevel="1" x14ac:dyDescent="0.2">
      <c r="A497">
        <v>46</v>
      </c>
      <c r="B497" t="str">
        <f ca="1">IF(INDIRECT(B$1&amp;"!$K"&amp;$A497+12)="","",Resultat!$AA$6*(SUMPRODUCT((Resultat!$E$13:$E58=INDIRECT(B$1&amp;"!$O$16"))*(Resultat!$J$13:$J58=0)))+Resultat!$AA$6*(SUMPRODUCT((Resultat!$G$13:$G58=INDIRECT(B$1&amp;"!$O$16"))*(Resultat!$H$13:$H58=0))))</f>
        <v/>
      </c>
      <c r="C497" t="str">
        <f ca="1">IF(INDIRECT(C$1&amp;"!$K"&amp;$A497+12)="","",Resultat!$AA$6*(SUMPRODUCT((Resultat!$E$13:$E58=INDIRECT(C$1&amp;"!$O$16"))*(Resultat!$J$13:$J58=0)))+Resultat!$AA$6*(SUMPRODUCT((Resultat!$G$13:$G58=INDIRECT(C$1&amp;"!$O$16"))*(Resultat!$H$13:$H58=0))))</f>
        <v/>
      </c>
      <c r="D497" t="str">
        <f ca="1">IF(INDIRECT(D$1&amp;"!$K"&amp;$A497+12)="","",Resultat!$AA$6*(SUMPRODUCT((Resultat!$E$13:$E58=INDIRECT(D$1&amp;"!$O$16"))*(Resultat!$J$13:$J58=0)))+Resultat!$AA$6*(SUMPRODUCT((Resultat!$G$13:$G58=INDIRECT(D$1&amp;"!$O$16"))*(Resultat!$H$13:$H58=0))))</f>
        <v/>
      </c>
      <c r="E497" t="str">
        <f ca="1">IF(INDIRECT(E$1&amp;"!$K"&amp;$A497+12)="","",Resultat!$AA$6*(SUMPRODUCT((Resultat!$E$13:$E58=INDIRECT(E$1&amp;"!$O$16"))*(Resultat!$J$13:$J58=0)))+Resultat!$AA$6*(SUMPRODUCT((Resultat!$G$13:$G58=INDIRECT(E$1&amp;"!$O$16"))*(Resultat!$H$13:$H58=0))))</f>
        <v/>
      </c>
      <c r="F497" t="str">
        <f ca="1">IF(INDIRECT(F$1&amp;"!$K"&amp;$A497+12)="","",Resultat!$AA$6*(SUMPRODUCT((Resultat!$E$13:$E58=INDIRECT(F$1&amp;"!$O$16"))*(Resultat!$J$13:$J58=0)))+Resultat!$AA$6*(SUMPRODUCT((Resultat!$G$13:$G58=INDIRECT(F$1&amp;"!$O$16"))*(Resultat!$H$13:$H58=0))))</f>
        <v/>
      </c>
    </row>
    <row r="498" spans="1:9" outlineLevel="1" x14ac:dyDescent="0.2">
      <c r="A498">
        <v>47</v>
      </c>
      <c r="B498" t="str">
        <f ca="1">IF(INDIRECT(B$1&amp;"!$K"&amp;$A498+12)="","",Resultat!$AA$6*(SUMPRODUCT((Resultat!$E$13:$E59=INDIRECT(B$1&amp;"!$O$16"))*(Resultat!$J$13:$J59=0)))+Resultat!$AA$6*(SUMPRODUCT((Resultat!$G$13:$G59=INDIRECT(B$1&amp;"!$O$16"))*(Resultat!$H$13:$H59=0))))</f>
        <v/>
      </c>
      <c r="C498" t="str">
        <f ca="1">IF(INDIRECT(C$1&amp;"!$K"&amp;$A498+12)="","",Resultat!$AA$6*(SUMPRODUCT((Resultat!$E$13:$E59=INDIRECT(C$1&amp;"!$O$16"))*(Resultat!$J$13:$J59=0)))+Resultat!$AA$6*(SUMPRODUCT((Resultat!$G$13:$G59=INDIRECT(C$1&amp;"!$O$16"))*(Resultat!$H$13:$H59=0))))</f>
        <v/>
      </c>
      <c r="D498" t="str">
        <f ca="1">IF(INDIRECT(D$1&amp;"!$K"&amp;$A498+12)="","",Resultat!$AA$6*(SUMPRODUCT((Resultat!$E$13:$E59=INDIRECT(D$1&amp;"!$O$16"))*(Resultat!$J$13:$J59=0)))+Resultat!$AA$6*(SUMPRODUCT((Resultat!$G$13:$G59=INDIRECT(D$1&amp;"!$O$16"))*(Resultat!$H$13:$H59=0))))</f>
        <v/>
      </c>
      <c r="E498" t="str">
        <f ca="1">IF(INDIRECT(E$1&amp;"!$K"&amp;$A498+12)="","",Resultat!$AA$6*(SUMPRODUCT((Resultat!$E$13:$E59=INDIRECT(E$1&amp;"!$O$16"))*(Resultat!$J$13:$J59=0)))+Resultat!$AA$6*(SUMPRODUCT((Resultat!$G$13:$G59=INDIRECT(E$1&amp;"!$O$16"))*(Resultat!$H$13:$H59=0))))</f>
        <v/>
      </c>
      <c r="F498" t="str">
        <f ca="1">IF(INDIRECT(F$1&amp;"!$K"&amp;$A498+12)="","",Resultat!$AA$6*(SUMPRODUCT((Resultat!$E$13:$E59=INDIRECT(F$1&amp;"!$O$16"))*(Resultat!$J$13:$J59=0)))+Resultat!$AA$6*(SUMPRODUCT((Resultat!$G$13:$G59=INDIRECT(F$1&amp;"!$O$16"))*(Resultat!$H$13:$H59=0))))</f>
        <v/>
      </c>
    </row>
    <row r="499" spans="1:9" outlineLevel="1" x14ac:dyDescent="0.2">
      <c r="A499">
        <v>48</v>
      </c>
      <c r="B499" t="str">
        <f ca="1">IF(INDIRECT(B$1&amp;"!$K"&amp;$A499+12)="","",Resultat!$AA$6*(SUMPRODUCT((Resultat!$E$13:$E60=INDIRECT(B$1&amp;"!$O$16"))*(Resultat!$J$13:$J60=0)))+Resultat!$AA$6*(SUMPRODUCT((Resultat!$G$13:$G60=INDIRECT(B$1&amp;"!$O$16"))*(Resultat!$H$13:$H60=0))))</f>
        <v/>
      </c>
      <c r="C499" t="str">
        <f ca="1">IF(INDIRECT(C$1&amp;"!$K"&amp;$A499+12)="","",Resultat!$AA$6*(SUMPRODUCT((Resultat!$E$13:$E60=INDIRECT(C$1&amp;"!$O$16"))*(Resultat!$J$13:$J60=0)))+Resultat!$AA$6*(SUMPRODUCT((Resultat!$G$13:$G60=INDIRECT(C$1&amp;"!$O$16"))*(Resultat!$H$13:$H60=0))))</f>
        <v/>
      </c>
      <c r="D499" t="str">
        <f ca="1">IF(INDIRECT(D$1&amp;"!$K"&amp;$A499+12)="","",Resultat!$AA$6*(SUMPRODUCT((Resultat!$E$13:$E60=INDIRECT(D$1&amp;"!$O$16"))*(Resultat!$J$13:$J60=0)))+Resultat!$AA$6*(SUMPRODUCT((Resultat!$G$13:$G60=INDIRECT(D$1&amp;"!$O$16"))*(Resultat!$H$13:$H60=0))))</f>
        <v/>
      </c>
      <c r="E499" t="str">
        <f ca="1">IF(INDIRECT(E$1&amp;"!$K"&amp;$A499+12)="","",Resultat!$AA$6*(SUMPRODUCT((Resultat!$E$13:$E60=INDIRECT(E$1&amp;"!$O$16"))*(Resultat!$J$13:$J60=0)))+Resultat!$AA$6*(SUMPRODUCT((Resultat!$G$13:$G60=INDIRECT(E$1&amp;"!$O$16"))*(Resultat!$H$13:$H60=0))))</f>
        <v/>
      </c>
      <c r="F499" t="str">
        <f ca="1">IF(INDIRECT(F$1&amp;"!$K"&amp;$A499+12)="","",Resultat!$AA$6*(SUMPRODUCT((Resultat!$E$13:$E60=INDIRECT(F$1&amp;"!$O$16"))*(Resultat!$J$13:$J60=0)))+Resultat!$AA$6*(SUMPRODUCT((Resultat!$G$13:$G60=INDIRECT(F$1&amp;"!$O$16"))*(Resultat!$H$13:$H60=0))))</f>
        <v/>
      </c>
    </row>
    <row r="500" spans="1:9" outlineLevel="1" x14ac:dyDescent="0.2">
      <c r="A500">
        <v>49</v>
      </c>
      <c r="B500" t="str">
        <f ca="1">IF(INDIRECT(B$1&amp;"!$K"&amp;$A500+12)="","",Resultat!$AA$6*(SUMPRODUCT((Resultat!$E$13:$E61=INDIRECT(B$1&amp;"!$O$16"))*(Resultat!$J$13:$J61=0)))+Resultat!$AA$6*(SUMPRODUCT((Resultat!$G$13:$G61=INDIRECT(B$1&amp;"!$O$16"))*(Resultat!$H$13:$H61=0))))</f>
        <v/>
      </c>
      <c r="C500" t="str">
        <f ca="1">IF(INDIRECT(C$1&amp;"!$K"&amp;$A500+12)="","",Resultat!$AA$6*(SUMPRODUCT((Resultat!$E$13:$E61=INDIRECT(C$1&amp;"!$O$16"))*(Resultat!$J$13:$J61=0)))+Resultat!$AA$6*(SUMPRODUCT((Resultat!$G$13:$G61=INDIRECT(C$1&amp;"!$O$16"))*(Resultat!$H$13:$H61=0))))</f>
        <v/>
      </c>
      <c r="D500" t="str">
        <f ca="1">IF(INDIRECT(D$1&amp;"!$K"&amp;$A500+12)="","",Resultat!$AA$6*(SUMPRODUCT((Resultat!$E$13:$E61=INDIRECT(D$1&amp;"!$O$16"))*(Resultat!$J$13:$J61=0)))+Resultat!$AA$6*(SUMPRODUCT((Resultat!$G$13:$G61=INDIRECT(D$1&amp;"!$O$16"))*(Resultat!$H$13:$H61=0))))</f>
        <v/>
      </c>
      <c r="E500" t="str">
        <f ca="1">IF(INDIRECT(E$1&amp;"!$K"&amp;$A500+12)="","",Resultat!$AA$6*(SUMPRODUCT((Resultat!$E$13:$E61=INDIRECT(E$1&amp;"!$O$16"))*(Resultat!$J$13:$J61=0)))+Resultat!$AA$6*(SUMPRODUCT((Resultat!$G$13:$G61=INDIRECT(E$1&amp;"!$O$16"))*(Resultat!$H$13:$H61=0))))</f>
        <v/>
      </c>
      <c r="F500" t="str">
        <f ca="1">IF(INDIRECT(F$1&amp;"!$K"&amp;$A500+12)="","",Resultat!$AA$6*(SUMPRODUCT((Resultat!$E$13:$E61=INDIRECT(F$1&amp;"!$O$16"))*(Resultat!$J$13:$J61=0)))+Resultat!$AA$6*(SUMPRODUCT((Resultat!$G$13:$G61=INDIRECT(F$1&amp;"!$O$16"))*(Resultat!$H$13:$H61=0))))</f>
        <v/>
      </c>
    </row>
    <row r="501" spans="1:9" outlineLevel="1" x14ac:dyDescent="0.2">
      <c r="A501">
        <v>50</v>
      </c>
      <c r="B501" t="str">
        <f ca="1">IF(INDIRECT(B$1&amp;"!$K"&amp;$A501+12)="","",Resultat!$AA$6*(SUMPRODUCT((Resultat!$E$13:$E62=INDIRECT(B$1&amp;"!$O$16"))*(Resultat!$J$13:$J62=0)))+Resultat!$AA$6*(SUMPRODUCT((Resultat!$G$13:$G62=INDIRECT(B$1&amp;"!$O$16"))*(Resultat!$H$13:$H62=0))))</f>
        <v/>
      </c>
      <c r="C501" t="str">
        <f ca="1">IF(INDIRECT(C$1&amp;"!$K"&amp;$A501+12)="","",Resultat!$AA$6*(SUMPRODUCT((Resultat!$E$13:$E62=INDIRECT(C$1&amp;"!$O$16"))*(Resultat!$J$13:$J62=0)))+Resultat!$AA$6*(SUMPRODUCT((Resultat!$G$13:$G62=INDIRECT(C$1&amp;"!$O$16"))*(Resultat!$H$13:$H62=0))))</f>
        <v/>
      </c>
      <c r="D501" t="str">
        <f ca="1">IF(INDIRECT(D$1&amp;"!$K"&amp;$A501+12)="","",Resultat!$AA$6*(SUMPRODUCT((Resultat!$E$13:$E62=INDIRECT(D$1&amp;"!$O$16"))*(Resultat!$J$13:$J62=0)))+Resultat!$AA$6*(SUMPRODUCT((Resultat!$G$13:$G62=INDIRECT(D$1&amp;"!$O$16"))*(Resultat!$H$13:$H62=0))))</f>
        <v/>
      </c>
      <c r="E501" t="str">
        <f ca="1">IF(INDIRECT(E$1&amp;"!$K"&amp;$A501+12)="","",Resultat!$AA$6*(SUMPRODUCT((Resultat!$E$13:$E62=INDIRECT(E$1&amp;"!$O$16"))*(Resultat!$J$13:$J62=0)))+Resultat!$AA$6*(SUMPRODUCT((Resultat!$G$13:$G62=INDIRECT(E$1&amp;"!$O$16"))*(Resultat!$H$13:$H62=0))))</f>
        <v/>
      </c>
      <c r="F501" t="str">
        <f ca="1">IF(INDIRECT(F$1&amp;"!$K"&amp;$A501+12)="","",Resultat!$AA$6*(SUMPRODUCT((Resultat!$E$13:$E62=INDIRECT(F$1&amp;"!$O$16"))*(Resultat!$J$13:$J62=0)))+Resultat!$AA$6*(SUMPRODUCT((Resultat!$G$13:$G62=INDIRECT(F$1&amp;"!$O$16"))*(Resultat!$H$13:$H62=0))))</f>
        <v/>
      </c>
    </row>
    <row r="502" spans="1:9" outlineLevel="1" x14ac:dyDescent="0.2">
      <c r="A502">
        <v>51</v>
      </c>
      <c r="B502" t="str">
        <f ca="1">IF(INDIRECT(B$1&amp;"!$K"&amp;$A502+12)="","",Resultat!$AA$6*(SUMPRODUCT((Resultat!$E$13:$E63=INDIRECT(B$1&amp;"!$O$16"))*(Resultat!$J$13:$J63=0)))+Resultat!$AA$6*(SUMPRODUCT((Resultat!$G$13:$G63=INDIRECT(B$1&amp;"!$O$16"))*(Resultat!$H$13:$H63=0))))</f>
        <v/>
      </c>
      <c r="C502" t="str">
        <f ca="1">IF(INDIRECT(C$1&amp;"!$K"&amp;$A502+12)="","",Resultat!$AA$6*(SUMPRODUCT((Resultat!$E$13:$E63=INDIRECT(C$1&amp;"!$O$16"))*(Resultat!$J$13:$J63=0)))+Resultat!$AA$6*(SUMPRODUCT((Resultat!$G$13:$G63=INDIRECT(C$1&amp;"!$O$16"))*(Resultat!$H$13:$H63=0))))</f>
        <v/>
      </c>
      <c r="D502" t="str">
        <f ca="1">IF(INDIRECT(D$1&amp;"!$K"&amp;$A502+12)="","",Resultat!$AA$6*(SUMPRODUCT((Resultat!$E$13:$E63=INDIRECT(D$1&amp;"!$O$16"))*(Resultat!$J$13:$J63=0)))+Resultat!$AA$6*(SUMPRODUCT((Resultat!$G$13:$G63=INDIRECT(D$1&amp;"!$O$16"))*(Resultat!$H$13:$H63=0))))</f>
        <v/>
      </c>
      <c r="E502" t="str">
        <f ca="1">IF(INDIRECT(E$1&amp;"!$K"&amp;$A502+12)="","",Resultat!$AA$6*(SUMPRODUCT((Resultat!$E$13:$E63=INDIRECT(E$1&amp;"!$O$16"))*(Resultat!$J$13:$J63=0)))+Resultat!$AA$6*(SUMPRODUCT((Resultat!$G$13:$G63=INDIRECT(E$1&amp;"!$O$16"))*(Resultat!$H$13:$H63=0))))</f>
        <v/>
      </c>
      <c r="F502" t="str">
        <f ca="1">IF(INDIRECT(F$1&amp;"!$K"&amp;$A502+12)="","",Resultat!$AA$6*(SUMPRODUCT((Resultat!$E$13:$E63=INDIRECT(F$1&amp;"!$O$16"))*(Resultat!$J$13:$J63=0)))+Resultat!$AA$6*(SUMPRODUCT((Resultat!$G$13:$G63=INDIRECT(F$1&amp;"!$O$16"))*(Resultat!$H$13:$H63=0))))</f>
        <v/>
      </c>
    </row>
    <row r="505" spans="1:9" x14ac:dyDescent="0.2">
      <c r="B505" s="74" t="s">
        <v>108</v>
      </c>
    </row>
    <row r="506" spans="1:9" outlineLevel="1" x14ac:dyDescent="0.2">
      <c r="A506" t="s">
        <v>102</v>
      </c>
      <c r="B506" s="73" t="str">
        <f>B$1</f>
        <v>Jocke</v>
      </c>
      <c r="C506" s="73" t="str">
        <f t="shared" ref="C506:F506" si="128">C$1</f>
        <v>Markus</v>
      </c>
      <c r="D506" s="73" t="str">
        <f t="shared" si="128"/>
        <v>Rickard</v>
      </c>
      <c r="E506" s="73" t="str">
        <f t="shared" si="128"/>
        <v>Tomas</v>
      </c>
      <c r="F506" s="73" t="str">
        <f t="shared" si="128"/>
        <v>Kalle</v>
      </c>
      <c r="G506" s="73"/>
      <c r="H506" s="73"/>
      <c r="I506" s="73"/>
    </row>
    <row r="507" spans="1:9" outlineLevel="1" x14ac:dyDescent="0.2">
      <c r="A507">
        <v>1</v>
      </c>
    </row>
    <row r="508" spans="1:9" outlineLevel="1" x14ac:dyDescent="0.2">
      <c r="A508">
        <v>2</v>
      </c>
    </row>
    <row r="509" spans="1:9" outlineLevel="1" x14ac:dyDescent="0.2">
      <c r="A509">
        <v>3</v>
      </c>
    </row>
    <row r="510" spans="1:9" outlineLevel="1" x14ac:dyDescent="0.2">
      <c r="A510">
        <v>4</v>
      </c>
    </row>
    <row r="511" spans="1:9" outlineLevel="1" x14ac:dyDescent="0.2">
      <c r="A511">
        <v>5</v>
      </c>
    </row>
    <row r="512" spans="1:9" outlineLevel="1" x14ac:dyDescent="0.2">
      <c r="A512">
        <v>6</v>
      </c>
    </row>
    <row r="513" spans="1:1" outlineLevel="1" x14ac:dyDescent="0.2">
      <c r="A513">
        <v>7</v>
      </c>
    </row>
    <row r="514" spans="1:1" outlineLevel="1" x14ac:dyDescent="0.2">
      <c r="A514">
        <v>8</v>
      </c>
    </row>
    <row r="515" spans="1:1" outlineLevel="1" x14ac:dyDescent="0.2">
      <c r="A515">
        <v>9</v>
      </c>
    </row>
    <row r="516" spans="1:1" outlineLevel="1" x14ac:dyDescent="0.2">
      <c r="A516">
        <v>10</v>
      </c>
    </row>
    <row r="517" spans="1:1" outlineLevel="1" x14ac:dyDescent="0.2">
      <c r="A517">
        <v>11</v>
      </c>
    </row>
    <row r="518" spans="1:1" outlineLevel="1" x14ac:dyDescent="0.2">
      <c r="A518">
        <v>12</v>
      </c>
    </row>
    <row r="519" spans="1:1" outlineLevel="1" x14ac:dyDescent="0.2">
      <c r="A519">
        <v>13</v>
      </c>
    </row>
    <row r="520" spans="1:1" outlineLevel="1" x14ac:dyDescent="0.2">
      <c r="A520">
        <v>14</v>
      </c>
    </row>
    <row r="521" spans="1:1" outlineLevel="1" x14ac:dyDescent="0.2">
      <c r="A521">
        <v>15</v>
      </c>
    </row>
    <row r="522" spans="1:1" outlineLevel="1" x14ac:dyDescent="0.2">
      <c r="A522">
        <v>16</v>
      </c>
    </row>
    <row r="523" spans="1:1" outlineLevel="1" x14ac:dyDescent="0.2">
      <c r="A523">
        <v>17</v>
      </c>
    </row>
    <row r="524" spans="1:1" outlineLevel="1" x14ac:dyDescent="0.2">
      <c r="A524">
        <v>18</v>
      </c>
    </row>
    <row r="525" spans="1:1" outlineLevel="1" x14ac:dyDescent="0.2">
      <c r="A525">
        <v>19</v>
      </c>
    </row>
    <row r="526" spans="1:1" outlineLevel="1" x14ac:dyDescent="0.2">
      <c r="A526">
        <v>20</v>
      </c>
    </row>
    <row r="527" spans="1:1" outlineLevel="1" x14ac:dyDescent="0.2">
      <c r="A527">
        <v>21</v>
      </c>
    </row>
    <row r="528" spans="1:1" outlineLevel="1" x14ac:dyDescent="0.2">
      <c r="A528">
        <v>22</v>
      </c>
    </row>
    <row r="529" spans="1:1" outlineLevel="1" x14ac:dyDescent="0.2">
      <c r="A529">
        <v>23</v>
      </c>
    </row>
    <row r="530" spans="1:1" outlineLevel="1" x14ac:dyDescent="0.2">
      <c r="A530">
        <v>24</v>
      </c>
    </row>
    <row r="531" spans="1:1" outlineLevel="1" x14ac:dyDescent="0.2">
      <c r="A531">
        <v>25</v>
      </c>
    </row>
    <row r="532" spans="1:1" outlineLevel="1" x14ac:dyDescent="0.2">
      <c r="A532">
        <v>26</v>
      </c>
    </row>
    <row r="533" spans="1:1" outlineLevel="1" x14ac:dyDescent="0.2">
      <c r="A533">
        <v>27</v>
      </c>
    </row>
    <row r="534" spans="1:1" outlineLevel="1" x14ac:dyDescent="0.2">
      <c r="A534">
        <v>28</v>
      </c>
    </row>
    <row r="535" spans="1:1" outlineLevel="1" x14ac:dyDescent="0.2">
      <c r="A535">
        <v>29</v>
      </c>
    </row>
    <row r="536" spans="1:1" outlineLevel="1" x14ac:dyDescent="0.2">
      <c r="A536">
        <v>30</v>
      </c>
    </row>
    <row r="537" spans="1:1" outlineLevel="1" x14ac:dyDescent="0.2">
      <c r="A537">
        <v>31</v>
      </c>
    </row>
    <row r="538" spans="1:1" outlineLevel="1" x14ac:dyDescent="0.2">
      <c r="A538">
        <v>32</v>
      </c>
    </row>
    <row r="539" spans="1:1" outlineLevel="1" x14ac:dyDescent="0.2">
      <c r="A539">
        <v>33</v>
      </c>
    </row>
    <row r="540" spans="1:1" outlineLevel="1" x14ac:dyDescent="0.2">
      <c r="A540">
        <v>34</v>
      </c>
    </row>
    <row r="541" spans="1:1" outlineLevel="1" x14ac:dyDescent="0.2">
      <c r="A541">
        <v>35</v>
      </c>
    </row>
    <row r="542" spans="1:1" outlineLevel="1" x14ac:dyDescent="0.2">
      <c r="A542">
        <v>36</v>
      </c>
    </row>
    <row r="543" spans="1:1" outlineLevel="1" x14ac:dyDescent="0.2">
      <c r="A543">
        <v>37</v>
      </c>
    </row>
    <row r="544" spans="1:1" outlineLevel="1" x14ac:dyDescent="0.2">
      <c r="A544">
        <v>38</v>
      </c>
    </row>
    <row r="545" spans="1:1" outlineLevel="1" x14ac:dyDescent="0.2">
      <c r="A545">
        <v>39</v>
      </c>
    </row>
    <row r="546" spans="1:1" outlineLevel="1" x14ac:dyDescent="0.2">
      <c r="A546">
        <v>40</v>
      </c>
    </row>
    <row r="547" spans="1:1" outlineLevel="1" x14ac:dyDescent="0.2">
      <c r="A547">
        <v>41</v>
      </c>
    </row>
    <row r="548" spans="1:1" outlineLevel="1" x14ac:dyDescent="0.2">
      <c r="A548">
        <v>42</v>
      </c>
    </row>
    <row r="549" spans="1:1" outlineLevel="1" x14ac:dyDescent="0.2">
      <c r="A549">
        <v>43</v>
      </c>
    </row>
    <row r="550" spans="1:1" outlineLevel="1" x14ac:dyDescent="0.2">
      <c r="A550">
        <v>44</v>
      </c>
    </row>
    <row r="551" spans="1:1" outlineLevel="1" x14ac:dyDescent="0.2">
      <c r="A551">
        <v>45</v>
      </c>
    </row>
    <row r="552" spans="1:1" outlineLevel="1" x14ac:dyDescent="0.2">
      <c r="A552">
        <v>46</v>
      </c>
    </row>
    <row r="553" spans="1:1" outlineLevel="1" x14ac:dyDescent="0.2">
      <c r="A553">
        <v>47</v>
      </c>
    </row>
    <row r="554" spans="1:1" outlineLevel="1" x14ac:dyDescent="0.2">
      <c r="A554">
        <v>48</v>
      </c>
    </row>
    <row r="555" spans="1:1" outlineLevel="1" x14ac:dyDescent="0.2">
      <c r="A555">
        <v>49</v>
      </c>
    </row>
    <row r="556" spans="1:1" outlineLevel="1" x14ac:dyDescent="0.2">
      <c r="A556">
        <v>50</v>
      </c>
    </row>
    <row r="557" spans="1:1" outlineLevel="1" x14ac:dyDescent="0.2">
      <c r="A557">
        <v>51</v>
      </c>
    </row>
  </sheetData>
  <phoneticPr fontId="15" type="noConversion"/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 enableFormatConditionsCalculation="0">
    <pageSetUpPr autoPageBreaks="0"/>
  </sheetPr>
  <dimension ref="A1:Y77"/>
  <sheetViews>
    <sheetView workbookViewId="0">
      <pane ySplit="12" topLeftCell="A13" activePane="bottomLeft" state="frozen"/>
      <selection pane="bottomLeft" activeCell="G59" sqref="G59"/>
    </sheetView>
  </sheetViews>
  <sheetFormatPr baseColWidth="10" defaultColWidth="8.83203125" defaultRowHeight="13" x14ac:dyDescent="0.15"/>
  <cols>
    <col min="1" max="1" width="8.5" style="34" customWidth="1"/>
    <col min="2" max="2" width="11.83203125" style="34" customWidth="1"/>
    <col min="3" max="3" width="8.83203125" style="34"/>
    <col min="4" max="4" width="8.83203125" style="34" customWidth="1"/>
    <col min="5" max="5" width="14.83203125" style="34" bestFit="1" customWidth="1"/>
    <col min="6" max="6" width="1.5" style="34" bestFit="1" customWidth="1"/>
    <col min="7" max="7" width="14.83203125" style="34" bestFit="1" customWidth="1"/>
    <col min="8" max="8" width="5.1640625" style="34" customWidth="1"/>
    <col min="9" max="9" width="1.5" style="34" customWidth="1"/>
    <col min="10" max="10" width="5.1640625" style="34" customWidth="1"/>
    <col min="11" max="11" width="6.1640625" style="34" customWidth="1"/>
    <col min="12" max="12" width="12.33203125" style="34" customWidth="1"/>
    <col min="13" max="13" width="8.83203125" style="34" customWidth="1"/>
    <col min="14" max="14" width="10.83203125" style="34" customWidth="1"/>
    <col min="15" max="15" width="13.33203125" style="34" customWidth="1"/>
    <col min="16" max="16384" width="8.83203125" style="34"/>
  </cols>
  <sheetData>
    <row r="1" spans="1:25" ht="20" x14ac:dyDescent="0.2">
      <c r="A1" s="1" t="s">
        <v>89</v>
      </c>
      <c r="B1" s="2"/>
      <c r="C1" s="2"/>
      <c r="D1" s="2"/>
      <c r="E1" s="3"/>
      <c r="F1" s="3"/>
      <c r="G1" s="3"/>
      <c r="H1" s="99" t="s">
        <v>95</v>
      </c>
      <c r="I1" s="99"/>
      <c r="J1" s="99"/>
      <c r="K1" s="67">
        <f>SUM(K13:K63)+SUM(P16:P19)</f>
        <v>29</v>
      </c>
      <c r="L1" s="3"/>
      <c r="M1" s="3"/>
      <c r="N1" s="31" t="s">
        <v>0</v>
      </c>
      <c r="O1" s="32"/>
      <c r="P1" s="32"/>
      <c r="Q1" s="32"/>
      <c r="R1" s="32"/>
      <c r="S1" s="32" t="s">
        <v>1</v>
      </c>
      <c r="T1" s="32"/>
      <c r="U1" s="32" t="s">
        <v>1</v>
      </c>
      <c r="V1" s="32"/>
      <c r="W1" s="32"/>
      <c r="X1" s="32"/>
      <c r="Y1" s="33"/>
    </row>
    <row r="2" spans="1:25" ht="12.75" customHeight="1" x14ac:dyDescent="0.15">
      <c r="A2" s="5" t="s">
        <v>2</v>
      </c>
      <c r="B2" s="6"/>
      <c r="C2" s="6"/>
      <c r="D2" s="6"/>
      <c r="E2" s="7"/>
      <c r="F2" s="7"/>
      <c r="G2" s="7"/>
      <c r="H2" s="8"/>
      <c r="I2" s="8"/>
      <c r="J2" s="8"/>
      <c r="K2" s="8"/>
      <c r="L2" s="7"/>
      <c r="M2" s="7"/>
      <c r="N2" s="35" t="s">
        <v>3</v>
      </c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</row>
    <row r="3" spans="1:25" ht="12.75" customHeight="1" x14ac:dyDescent="0.15">
      <c r="A3" s="9" t="s">
        <v>4</v>
      </c>
      <c r="B3" s="10"/>
      <c r="C3" s="10"/>
      <c r="D3" s="10"/>
      <c r="E3" s="10" t="s">
        <v>5</v>
      </c>
      <c r="F3" s="11"/>
      <c r="G3" s="12"/>
      <c r="H3" s="12"/>
      <c r="I3" s="12"/>
      <c r="J3" s="12"/>
      <c r="K3" s="12"/>
      <c r="L3" s="12" t="s">
        <v>6</v>
      </c>
      <c r="M3" s="12"/>
      <c r="N3" s="35" t="s">
        <v>7</v>
      </c>
      <c r="O3" s="36"/>
      <c r="P3" s="36"/>
      <c r="Q3" s="36"/>
      <c r="R3" s="36"/>
      <c r="S3" s="36"/>
      <c r="T3" s="36"/>
      <c r="U3" s="36"/>
      <c r="V3" s="36"/>
      <c r="W3" s="36"/>
      <c r="X3" s="36"/>
      <c r="Y3" s="37"/>
    </row>
    <row r="4" spans="1:25" ht="12.75" customHeight="1" x14ac:dyDescent="0.15">
      <c r="A4" s="13" t="s">
        <v>8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4" t="s">
        <v>9</v>
      </c>
      <c r="M4" s="16">
        <v>4</v>
      </c>
      <c r="N4" s="38"/>
      <c r="O4" s="36"/>
      <c r="P4" s="36"/>
      <c r="Q4" s="36"/>
      <c r="R4" s="36"/>
      <c r="S4" s="36"/>
      <c r="T4" s="36"/>
      <c r="U4" s="36"/>
      <c r="V4" s="36"/>
      <c r="W4" s="36"/>
      <c r="X4" s="36"/>
      <c r="Y4" s="37"/>
    </row>
    <row r="5" spans="1:25" ht="12.75" customHeight="1" x14ac:dyDescent="0.15">
      <c r="A5" s="17" t="s">
        <v>10</v>
      </c>
      <c r="B5" s="18"/>
      <c r="C5" s="18"/>
      <c r="D5" s="18"/>
      <c r="E5" s="18" t="s">
        <v>11</v>
      </c>
      <c r="F5" s="18"/>
      <c r="G5" s="18"/>
      <c r="H5" s="19"/>
      <c r="I5" s="19"/>
      <c r="J5" s="19"/>
      <c r="K5" s="19"/>
      <c r="L5" s="18" t="s">
        <v>12</v>
      </c>
      <c r="M5" s="20">
        <v>6</v>
      </c>
      <c r="N5" s="35" t="s">
        <v>13</v>
      </c>
      <c r="O5" s="36"/>
      <c r="P5" s="36"/>
      <c r="Q5" s="36"/>
      <c r="R5" s="36"/>
      <c r="S5" s="36"/>
      <c r="T5" s="36"/>
      <c r="U5" s="36"/>
      <c r="V5" s="36"/>
      <c r="W5" s="36"/>
      <c r="X5" s="36"/>
      <c r="Y5" s="37"/>
    </row>
    <row r="6" spans="1:25" ht="12.75" customHeight="1" x14ac:dyDescent="0.15">
      <c r="A6" s="17" t="s">
        <v>14</v>
      </c>
      <c r="B6" s="18"/>
      <c r="C6" s="18"/>
      <c r="D6" s="18"/>
      <c r="E6" s="18" t="s">
        <v>15</v>
      </c>
      <c r="F6" s="18"/>
      <c r="G6" s="18"/>
      <c r="H6" s="19"/>
      <c r="I6" s="19"/>
      <c r="J6" s="19"/>
      <c r="K6" s="19"/>
      <c r="L6" s="18" t="s">
        <v>16</v>
      </c>
      <c r="M6" s="20">
        <v>10</v>
      </c>
      <c r="N6" s="38" t="s">
        <v>17</v>
      </c>
      <c r="O6" s="36"/>
      <c r="P6" s="36"/>
      <c r="Q6" s="36"/>
      <c r="R6" s="36"/>
      <c r="S6" s="36"/>
      <c r="T6" s="36"/>
      <c r="U6" s="36"/>
      <c r="V6" s="36"/>
      <c r="W6" s="36"/>
      <c r="X6" s="36"/>
      <c r="Y6" s="37"/>
    </row>
    <row r="7" spans="1:25" ht="12.75" customHeight="1" x14ac:dyDescent="0.15">
      <c r="A7" s="17" t="s">
        <v>18</v>
      </c>
      <c r="B7" s="18"/>
      <c r="C7" s="18"/>
      <c r="D7" s="18"/>
      <c r="E7" s="18" t="s">
        <v>19</v>
      </c>
      <c r="F7" s="18"/>
      <c r="G7" s="18"/>
      <c r="H7" s="19"/>
      <c r="I7" s="19"/>
      <c r="J7" s="19"/>
      <c r="K7" s="19"/>
      <c r="L7" s="18" t="s">
        <v>20</v>
      </c>
      <c r="M7" s="20">
        <v>14</v>
      </c>
      <c r="N7" s="38" t="s">
        <v>21</v>
      </c>
      <c r="O7" s="36"/>
      <c r="P7" s="36"/>
      <c r="Q7" s="36"/>
      <c r="R7" s="36"/>
      <c r="S7" s="36"/>
      <c r="T7" s="36"/>
      <c r="U7" s="36"/>
      <c r="V7" s="36"/>
      <c r="W7" s="36"/>
      <c r="X7" s="36"/>
      <c r="Y7" s="37"/>
    </row>
    <row r="8" spans="1:25" ht="12.75" customHeight="1" x14ac:dyDescent="0.15">
      <c r="A8" s="17" t="s">
        <v>22</v>
      </c>
      <c r="B8" s="18"/>
      <c r="C8" s="18"/>
      <c r="D8" s="18"/>
      <c r="E8" s="18"/>
      <c r="F8" s="18"/>
      <c r="G8" s="18"/>
      <c r="H8" s="19"/>
      <c r="I8" s="19"/>
      <c r="J8" s="19"/>
      <c r="K8" s="19"/>
      <c r="L8" s="18" t="s">
        <v>23</v>
      </c>
      <c r="M8" s="20">
        <v>16</v>
      </c>
      <c r="N8" s="38" t="s">
        <v>24</v>
      </c>
      <c r="O8" s="36"/>
      <c r="P8" s="36"/>
      <c r="Q8" s="36"/>
      <c r="R8" s="36"/>
      <c r="S8" s="36"/>
      <c r="T8" s="36"/>
      <c r="U8" s="36"/>
      <c r="V8" s="36"/>
      <c r="W8" s="36"/>
      <c r="X8" s="36"/>
      <c r="Y8" s="37"/>
    </row>
    <row r="9" spans="1:25" ht="12.75" customHeight="1" x14ac:dyDescent="0.15">
      <c r="A9" s="17" t="s">
        <v>25</v>
      </c>
      <c r="B9" s="18"/>
      <c r="C9" s="18"/>
      <c r="D9" s="18"/>
      <c r="E9" s="18"/>
      <c r="F9" s="18"/>
      <c r="G9" s="18"/>
      <c r="H9" s="19"/>
      <c r="I9" s="19"/>
      <c r="J9" s="19"/>
      <c r="K9" s="19"/>
      <c r="L9" s="18"/>
      <c r="M9" s="18"/>
      <c r="N9" s="35" t="s">
        <v>26</v>
      </c>
      <c r="O9" s="36"/>
      <c r="P9" s="36"/>
      <c r="Q9" s="36"/>
      <c r="R9" s="36"/>
      <c r="S9" s="36"/>
      <c r="T9" s="36"/>
      <c r="U9" s="36"/>
      <c r="V9" s="36"/>
      <c r="W9" s="36"/>
      <c r="X9" s="36"/>
      <c r="Y9" s="37"/>
    </row>
    <row r="10" spans="1:25" ht="12.75" customHeight="1" x14ac:dyDescent="0.15">
      <c r="A10" s="21" t="s">
        <v>27</v>
      </c>
      <c r="B10" s="22"/>
      <c r="C10" s="22"/>
      <c r="D10" s="22"/>
      <c r="E10" s="22"/>
      <c r="F10" s="22"/>
      <c r="G10" s="22"/>
      <c r="H10" s="23"/>
      <c r="I10" s="23"/>
      <c r="J10" s="23"/>
      <c r="K10" s="23"/>
      <c r="L10" s="22"/>
      <c r="M10" s="22"/>
      <c r="N10" s="38" t="s">
        <v>28</v>
      </c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7"/>
    </row>
    <row r="11" spans="1:25" ht="12.75" customHeight="1" x14ac:dyDescent="0.15">
      <c r="A11" s="1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5"/>
      <c r="M11" s="26"/>
      <c r="N11" s="39" t="s">
        <v>29</v>
      </c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1"/>
    </row>
    <row r="12" spans="1:25" x14ac:dyDescent="0.15">
      <c r="A12" s="27" t="s">
        <v>30</v>
      </c>
      <c r="B12" s="25" t="s">
        <v>31</v>
      </c>
      <c r="C12" s="30" t="s">
        <v>32</v>
      </c>
      <c r="D12" s="30" t="s">
        <v>33</v>
      </c>
      <c r="E12" s="95" t="s">
        <v>34</v>
      </c>
      <c r="F12" s="96"/>
      <c r="G12" s="95"/>
      <c r="H12" s="95" t="s">
        <v>35</v>
      </c>
      <c r="I12" s="95"/>
      <c r="J12" s="95"/>
      <c r="K12" s="29" t="s">
        <v>90</v>
      </c>
      <c r="L12" s="29" t="s">
        <v>96</v>
      </c>
      <c r="M12" s="29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</row>
    <row r="13" spans="1:25" x14ac:dyDescent="0.15">
      <c r="A13" s="42">
        <v>1</v>
      </c>
      <c r="B13" s="43">
        <v>42531</v>
      </c>
      <c r="C13" s="44" t="s">
        <v>42</v>
      </c>
      <c r="D13" s="42" t="s">
        <v>38</v>
      </c>
      <c r="E13" s="45" t="s">
        <v>51</v>
      </c>
      <c r="F13" s="46" t="s">
        <v>39</v>
      </c>
      <c r="G13" s="47" t="s">
        <v>60</v>
      </c>
      <c r="H13" s="48">
        <v>1</v>
      </c>
      <c r="I13" s="46" t="s">
        <v>39</v>
      </c>
      <c r="J13" s="49">
        <v>2</v>
      </c>
      <c r="K13" s="57">
        <f>IF(OR(Resultat!H13="",H13="",Resultat!J13="",J13=""),"",IF((H13=Resultat!H13)*(J13=Resultat!J13),Resultat!$AA$3+Resultat!$AA$4,IF(((H13-J13)&gt;0)*((Resultat!H13-Resultat!J13)&gt;0),Resultat!$AA$3,IF(((H13-J13)&lt;0)*((Resultat!H13-Resultat!J13)&lt;0),Resultat!$AA$3,IF(((H13-J13)=0)*((Resultat!H13-Resultat!J13)=0),Resultat!$AA$3,0)))))</f>
        <v>2</v>
      </c>
      <c r="L13" s="69">
        <f>IF(H13&gt;J13,1,IF(H13=J13,"x",IF(H13&lt;J13,2)))</f>
        <v>2</v>
      </c>
    </row>
    <row r="14" spans="1:25" x14ac:dyDescent="0.15">
      <c r="A14" s="42">
        <v>2</v>
      </c>
      <c r="B14" s="43">
        <v>42532</v>
      </c>
      <c r="C14" s="44" t="s">
        <v>59</v>
      </c>
      <c r="D14" s="42" t="s">
        <v>38</v>
      </c>
      <c r="E14" s="45" t="s">
        <v>61</v>
      </c>
      <c r="F14" s="46" t="s">
        <v>39</v>
      </c>
      <c r="G14" s="47" t="s">
        <v>50</v>
      </c>
      <c r="H14" s="48">
        <v>1</v>
      </c>
      <c r="I14" s="46" t="s">
        <v>39</v>
      </c>
      <c r="J14" s="49">
        <v>2</v>
      </c>
      <c r="K14" s="57">
        <f>IF(OR(Resultat!H14="",H14="",Resultat!J14="",J14=""),"",IF((H14=Resultat!H14)*(J14=Resultat!J14),Resultat!$AA$3+Resultat!$AA$4,IF(((H14-J14)&gt;0)*((Resultat!H14-Resultat!J14)&gt;0),Resultat!$AA$3,IF(((H14-J14)&lt;0)*((Resultat!H14-Resultat!J14)&lt;0),Resultat!$AA$3,IF(((H14-J14)=0)*((Resultat!H14-Resultat!J14)=0),Resultat!$AA$3,0)))))</f>
        <v>0</v>
      </c>
      <c r="L14" s="69">
        <f t="shared" ref="L14:L63" si="0">IF(H14&gt;J14,1,IF(H14=J14,"x",IF(H14&lt;J14,2)))</f>
        <v>2</v>
      </c>
    </row>
    <row r="15" spans="1:25" ht="13" customHeight="1" x14ac:dyDescent="0.2">
      <c r="A15" s="42">
        <v>3</v>
      </c>
      <c r="B15" s="43">
        <v>42532</v>
      </c>
      <c r="C15" s="44" t="s">
        <v>41</v>
      </c>
      <c r="D15" s="42" t="s">
        <v>43</v>
      </c>
      <c r="E15" s="45" t="s">
        <v>62</v>
      </c>
      <c r="F15" s="46" t="s">
        <v>39</v>
      </c>
      <c r="G15" s="47" t="s">
        <v>63</v>
      </c>
      <c r="H15" s="48">
        <v>1</v>
      </c>
      <c r="I15" s="46" t="s">
        <v>39</v>
      </c>
      <c r="J15" s="49">
        <v>3</v>
      </c>
      <c r="K15" s="57">
        <f>IF(OR(Resultat!H15="",H15="",Resultat!J15="",J15=""),"",IF((H15=Resultat!H15)*(J15=Resultat!J15),Resultat!$AA$3+Resultat!$AA$4,IF(((H15-J15)&gt;0)*((Resultat!H15-Resultat!J15)&gt;0),Resultat!$AA$3,IF(((H15-J15)&lt;0)*((Resultat!H15-Resultat!J15)&lt;0),Resultat!$AA$3,IF(((H15-J15)=0)*((Resultat!H15-Resultat!J15)=0),Resultat!$AA$3,0)))))</f>
        <v>0</v>
      </c>
      <c r="L15" s="69">
        <f t="shared" si="0"/>
        <v>2</v>
      </c>
      <c r="N15" s="58"/>
      <c r="O15" s="59"/>
      <c r="P15" s="60" t="s">
        <v>90</v>
      </c>
    </row>
    <row r="16" spans="1:25" ht="13" customHeight="1" x14ac:dyDescent="0.2">
      <c r="A16" s="42">
        <v>4</v>
      </c>
      <c r="B16" s="43">
        <v>42532</v>
      </c>
      <c r="C16" s="44" t="s">
        <v>42</v>
      </c>
      <c r="D16" s="42" t="s">
        <v>43</v>
      </c>
      <c r="E16" s="45" t="s">
        <v>47</v>
      </c>
      <c r="F16" s="46" t="s">
        <v>39</v>
      </c>
      <c r="G16" s="47" t="s">
        <v>56</v>
      </c>
      <c r="H16" s="48">
        <v>1</v>
      </c>
      <c r="I16" s="46" t="s">
        <v>39</v>
      </c>
      <c r="J16" s="49">
        <v>2</v>
      </c>
      <c r="K16" s="57">
        <f>IF(OR(Resultat!H16="",H16="",Resultat!J16="",J16=""),"",IF((H16=Resultat!H16)*(J16=Resultat!J16),Resultat!$AA$3+Resultat!$AA$4,IF(((H16-J16)&gt;0)*((Resultat!H16-Resultat!J16)&gt;0),Resultat!$AA$3,IF(((H16-J16)&lt;0)*((Resultat!H16-Resultat!J16)&lt;0),Resultat!$AA$3,IF(((H16-J16)=0)*((Resultat!H16-Resultat!J16)=0),Resultat!$AA$3,0)))))</f>
        <v>0</v>
      </c>
      <c r="L16" s="69">
        <f t="shared" si="0"/>
        <v>2</v>
      </c>
      <c r="N16" s="61" t="s">
        <v>91</v>
      </c>
      <c r="O16" s="62" t="s">
        <v>61</v>
      </c>
      <c r="P16" s="63">
        <f>Resultat!$AA$6*(SUMPRODUCT((Resultat!J$13:J$64&lt;&gt;"")*(Resultat!$E$13:$E$64=O16)*(Resultat!$J$13:$J$64=0)))+Resultat!$AA$6*(SUMPRODUCT((Resultat!$H$13:$H$64&lt;&gt;"")*(Resultat!$G$13:$G$64=O16)*(Resultat!$H$13:$H$64=0)))</f>
        <v>2</v>
      </c>
    </row>
    <row r="17" spans="1:16" ht="13" customHeight="1" x14ac:dyDescent="0.2">
      <c r="A17" s="42">
        <v>5</v>
      </c>
      <c r="B17" s="43">
        <v>42533</v>
      </c>
      <c r="C17" s="44" t="s">
        <v>59</v>
      </c>
      <c r="D17" s="42" t="s">
        <v>46</v>
      </c>
      <c r="E17" s="45" t="s">
        <v>64</v>
      </c>
      <c r="F17" s="46" t="s">
        <v>39</v>
      </c>
      <c r="G17" s="47" t="s">
        <v>40</v>
      </c>
      <c r="H17" s="48">
        <v>1</v>
      </c>
      <c r="I17" s="46" t="s">
        <v>39</v>
      </c>
      <c r="J17" s="49">
        <v>2</v>
      </c>
      <c r="K17" s="57">
        <f>IF(OR(Resultat!H17="",H17="",Resultat!J17="",J17=""),"",IF((H17=Resultat!H17)*(J17=Resultat!J17),Resultat!$AA$3+Resultat!$AA$4,IF(((H17-J17)&gt;0)*((Resultat!H17-Resultat!J17)&gt;0),Resultat!$AA$3,IF(((H17-J17)&lt;0)*((Resultat!H17-Resultat!J17)&lt;0),Resultat!$AA$3,IF(((H17-J17)=0)*((Resultat!H17-Resultat!J17)=0),Resultat!$AA$3,0)))))</f>
        <v>0</v>
      </c>
      <c r="L17" s="69">
        <f t="shared" si="0"/>
        <v>2</v>
      </c>
      <c r="N17" s="61" t="s">
        <v>92</v>
      </c>
      <c r="O17" s="62" t="s">
        <v>110</v>
      </c>
      <c r="P17" s="63">
        <f>COUNTIF(Resultat!$K$13:$AB$64,O17)*Resultat!$AA$6</f>
        <v>4</v>
      </c>
    </row>
    <row r="18" spans="1:16" ht="13" customHeight="1" x14ac:dyDescent="0.2">
      <c r="A18" s="42">
        <v>6</v>
      </c>
      <c r="B18" s="43">
        <v>42533</v>
      </c>
      <c r="C18" s="44" t="s">
        <v>41</v>
      </c>
      <c r="D18" s="42" t="s">
        <v>45</v>
      </c>
      <c r="E18" s="45" t="s">
        <v>65</v>
      </c>
      <c r="F18" s="46" t="s">
        <v>39</v>
      </c>
      <c r="G18" s="47" t="s">
        <v>66</v>
      </c>
      <c r="H18" s="48">
        <v>1</v>
      </c>
      <c r="I18" s="46" t="s">
        <v>39</v>
      </c>
      <c r="J18" s="49">
        <v>2</v>
      </c>
      <c r="K18" s="57">
        <f>IF(OR(Resultat!H18="",H18="",Resultat!J18="",J18=""),"",IF((H18=Resultat!H18)*(J18=Resultat!J18),Resultat!$AA$3+Resultat!$AA$4,IF(((H18-J18)&gt;0)*((Resultat!H18-Resultat!J18)&gt;0),Resultat!$AA$3,IF(((H18-J18)&lt;0)*((Resultat!H18-Resultat!J18)&lt;0),Resultat!$AA$3,IF(((H18-J18)=0)*((Resultat!H18-Resultat!J18)=0),Resultat!$AA$3,0)))))</f>
        <v>0</v>
      </c>
      <c r="L18" s="69">
        <f t="shared" si="0"/>
        <v>2</v>
      </c>
      <c r="N18" s="61" t="s">
        <v>93</v>
      </c>
      <c r="O18" s="62" t="s">
        <v>111</v>
      </c>
      <c r="P18" s="63">
        <f>COUNTIF(Resultat!$K$13:$AB$64,O18)*Resultat!$AA$6</f>
        <v>2</v>
      </c>
    </row>
    <row r="19" spans="1:16" ht="13" customHeight="1" x14ac:dyDescent="0.2">
      <c r="A19" s="42">
        <v>7</v>
      </c>
      <c r="B19" s="43">
        <v>42533</v>
      </c>
      <c r="C19" s="44" t="s">
        <v>42</v>
      </c>
      <c r="D19" s="42" t="s">
        <v>45</v>
      </c>
      <c r="E19" s="45" t="s">
        <v>53</v>
      </c>
      <c r="F19" s="46" t="s">
        <v>39</v>
      </c>
      <c r="G19" s="47" t="s">
        <v>67</v>
      </c>
      <c r="H19" s="48">
        <v>1</v>
      </c>
      <c r="I19" s="46" t="s">
        <v>39</v>
      </c>
      <c r="J19" s="49">
        <v>2</v>
      </c>
      <c r="K19" s="57">
        <f>IF(OR(Resultat!H19="",H19="",Resultat!J19="",J19=""),"",IF((H19=Resultat!H19)*(J19=Resultat!J19),Resultat!$AA$3+Resultat!$AA$4,IF(((H19-J19)&gt;0)*((Resultat!H19-Resultat!J19)&gt;0),Resultat!$AA$3,IF(((H19-J19)&lt;0)*((Resultat!H19-Resultat!J19)&lt;0),Resultat!$AA$3,IF(((H19-J19)=0)*((Resultat!H19-Resultat!J19)=0),Resultat!$AA$3,0)))))</f>
        <v>0</v>
      </c>
      <c r="L19" s="69">
        <f t="shared" si="0"/>
        <v>2</v>
      </c>
      <c r="N19" s="64" t="s">
        <v>94</v>
      </c>
      <c r="O19" s="65" t="s">
        <v>112</v>
      </c>
      <c r="P19" s="66">
        <f>COUNTIF(Resultat!$K$13:$AB$64,O19)*Resultat!$AA$6</f>
        <v>2</v>
      </c>
    </row>
    <row r="20" spans="1:16" x14ac:dyDescent="0.15">
      <c r="A20" s="42">
        <v>8</v>
      </c>
      <c r="B20" s="43">
        <v>42534</v>
      </c>
      <c r="C20" s="44" t="s">
        <v>59</v>
      </c>
      <c r="D20" s="42" t="s">
        <v>46</v>
      </c>
      <c r="E20" s="45" t="s">
        <v>44</v>
      </c>
      <c r="F20" s="46" t="s">
        <v>39</v>
      </c>
      <c r="G20" s="47" t="s">
        <v>68</v>
      </c>
      <c r="H20" s="48">
        <v>1</v>
      </c>
      <c r="I20" s="46" t="s">
        <v>39</v>
      </c>
      <c r="J20" s="49">
        <v>2</v>
      </c>
      <c r="K20" s="57">
        <f>IF(OR(Resultat!H20="",H20="",Resultat!J20="",J20=""),"",IF((H20=Resultat!H20)*(J20=Resultat!J20),Resultat!$AA$3+Resultat!$AA$4,IF(((H20-J20)&gt;0)*((Resultat!H20-Resultat!J20)&gt;0),Resultat!$AA$3,IF(((H20-J20)&lt;0)*((Resultat!H20-Resultat!J20)&lt;0),Resultat!$AA$3,IF(((H20-J20)=0)*((Resultat!H20-Resultat!J20)=0),Resultat!$AA$3,0)))))</f>
        <v>0</v>
      </c>
      <c r="L20" s="69">
        <f t="shared" si="0"/>
        <v>2</v>
      </c>
    </row>
    <row r="21" spans="1:16" x14ac:dyDescent="0.15">
      <c r="A21" s="42">
        <v>9</v>
      </c>
      <c r="B21" s="43">
        <v>42534</v>
      </c>
      <c r="C21" s="44" t="s">
        <v>41</v>
      </c>
      <c r="D21" s="42" t="s">
        <v>49</v>
      </c>
      <c r="E21" s="45" t="s">
        <v>69</v>
      </c>
      <c r="F21" s="46" t="s">
        <v>39</v>
      </c>
      <c r="G21" s="47" t="s">
        <v>70</v>
      </c>
      <c r="H21" s="48">
        <v>1</v>
      </c>
      <c r="I21" s="46" t="s">
        <v>39</v>
      </c>
      <c r="J21" s="49">
        <v>2</v>
      </c>
      <c r="K21" s="57">
        <f>IF(OR(Resultat!H21="",H21="",Resultat!J21="",J21=""),"",IF((H21=Resultat!H21)*(J21=Resultat!J21),Resultat!$AA$3+Resultat!$AA$4,IF(((H21-J21)&gt;0)*((Resultat!H21-Resultat!J21)&gt;0),Resultat!$AA$3,IF(((H21-J21)&lt;0)*((Resultat!H21-Resultat!J21)&lt;0),Resultat!$AA$3,IF(((H21-J21)=0)*((Resultat!H21-Resultat!J21)=0),Resultat!$AA$3,0)))))</f>
        <v>0</v>
      </c>
      <c r="L21" s="69">
        <f t="shared" si="0"/>
        <v>2</v>
      </c>
    </row>
    <row r="22" spans="1:16" x14ac:dyDescent="0.15">
      <c r="A22" s="42">
        <v>10</v>
      </c>
      <c r="B22" s="43">
        <v>42534</v>
      </c>
      <c r="C22" s="44" t="s">
        <v>42</v>
      </c>
      <c r="D22" s="42" t="s">
        <v>49</v>
      </c>
      <c r="E22" s="45" t="s">
        <v>55</v>
      </c>
      <c r="F22" s="46" t="s">
        <v>39</v>
      </c>
      <c r="G22" s="47" t="s">
        <v>48</v>
      </c>
      <c r="H22" s="48">
        <v>1</v>
      </c>
      <c r="I22" s="46" t="s">
        <v>39</v>
      </c>
      <c r="J22" s="49">
        <v>2</v>
      </c>
      <c r="K22" s="57">
        <f>IF(OR(Resultat!H22="",H22="",Resultat!J22="",J22=""),"",IF((H22=Resultat!H22)*(J22=Resultat!J22),Resultat!$AA$3+Resultat!$AA$4,IF(((H22-J22)&gt;0)*((Resultat!H22-Resultat!J22)&gt;0),Resultat!$AA$3,IF(((H22-J22)&lt;0)*((Resultat!H22-Resultat!J22)&lt;0),Resultat!$AA$3,IF(((H22-J22)=0)*((Resultat!H22-Resultat!J22)=0),Resultat!$AA$3,0)))))</f>
        <v>0</v>
      </c>
      <c r="L22" s="69">
        <f t="shared" si="0"/>
        <v>2</v>
      </c>
    </row>
    <row r="23" spans="1:16" x14ac:dyDescent="0.15">
      <c r="A23" s="42">
        <v>11</v>
      </c>
      <c r="B23" s="43">
        <v>42535</v>
      </c>
      <c r="C23" s="44" t="s">
        <v>41</v>
      </c>
      <c r="D23" s="42" t="s">
        <v>52</v>
      </c>
      <c r="E23" s="45" t="s">
        <v>71</v>
      </c>
      <c r="F23" s="46" t="s">
        <v>39</v>
      </c>
      <c r="G23" s="47" t="s">
        <v>72</v>
      </c>
      <c r="H23" s="48">
        <v>1</v>
      </c>
      <c r="I23" s="46" t="s">
        <v>39</v>
      </c>
      <c r="J23" s="49">
        <v>2</v>
      </c>
      <c r="K23" s="57">
        <f>IF(OR(Resultat!H23="",H23="",Resultat!J23="",J23=""),"",IF((H23=Resultat!H23)*(J23=Resultat!J23),Resultat!$AA$3+Resultat!$AA$4,IF(((H23-J23)&gt;0)*((Resultat!H23-Resultat!J23)&gt;0),Resultat!$AA$3,IF(((H23-J23)&lt;0)*((Resultat!H23-Resultat!J23)&lt;0),Resultat!$AA$3,IF(((H23-J23)=0)*((Resultat!H23-Resultat!J23)=0),Resultat!$AA$3,0)))))</f>
        <v>0</v>
      </c>
      <c r="L23" s="69">
        <f t="shared" si="0"/>
        <v>2</v>
      </c>
    </row>
    <row r="24" spans="1:16" x14ac:dyDescent="0.15">
      <c r="A24" s="42">
        <v>12</v>
      </c>
      <c r="B24" s="43">
        <v>42535</v>
      </c>
      <c r="C24" s="44" t="s">
        <v>42</v>
      </c>
      <c r="D24" s="42" t="s">
        <v>52</v>
      </c>
      <c r="E24" s="45" t="s">
        <v>54</v>
      </c>
      <c r="F24" s="46" t="s">
        <v>39</v>
      </c>
      <c r="G24" s="47" t="s">
        <v>73</v>
      </c>
      <c r="H24" s="48">
        <v>1</v>
      </c>
      <c r="I24" s="46" t="s">
        <v>39</v>
      </c>
      <c r="J24" s="49">
        <v>3</v>
      </c>
      <c r="K24" s="57">
        <f>IF(OR(Resultat!H24="",H24="",Resultat!J24="",J24=""),"",IF((H24=Resultat!H24)*(J24=Resultat!J24),Resultat!$AA$3+Resultat!$AA$4,IF(((H24-J24)&gt;0)*((Resultat!H24-Resultat!J24)&gt;0),Resultat!$AA$3,IF(((H24-J24)&lt;0)*((Resultat!H24-Resultat!J24)&lt;0),Resultat!$AA$3,IF(((H24-J24)=0)*((Resultat!H24-Resultat!J24)=0),Resultat!$AA$3,0)))))</f>
        <v>2</v>
      </c>
      <c r="L24" s="69">
        <f t="shared" si="0"/>
        <v>2</v>
      </c>
    </row>
    <row r="25" spans="1:16" x14ac:dyDescent="0.15">
      <c r="A25" s="42">
        <v>13</v>
      </c>
      <c r="B25" s="43">
        <v>42536</v>
      </c>
      <c r="C25" s="44" t="s">
        <v>59</v>
      </c>
      <c r="D25" s="42" t="s">
        <v>43</v>
      </c>
      <c r="E25" s="45" t="s">
        <v>56</v>
      </c>
      <c r="F25" s="46" t="s">
        <v>39</v>
      </c>
      <c r="G25" s="47" t="s">
        <v>63</v>
      </c>
      <c r="H25" s="48">
        <v>1</v>
      </c>
      <c r="I25" s="46" t="s">
        <v>39</v>
      </c>
      <c r="J25" s="49">
        <v>2</v>
      </c>
      <c r="K25" s="57">
        <f>IF(OR(Resultat!H25="",H25="",Resultat!J25="",J25=""),"",IF((H25=Resultat!H25)*(J25=Resultat!J25),Resultat!$AA$3+Resultat!$AA$4,IF(((H25-J25)&gt;0)*((Resultat!H25-Resultat!J25)&gt;0),Resultat!$AA$3,IF(((H25-J25)&lt;0)*((Resultat!H25-Resultat!J25)&lt;0),Resultat!$AA$3,IF(((H25-J25)=0)*((Resultat!H25-Resultat!J25)=0),Resultat!$AA$3,0)))))</f>
        <v>0</v>
      </c>
      <c r="L25" s="69">
        <f t="shared" si="0"/>
        <v>2</v>
      </c>
    </row>
    <row r="26" spans="1:16" x14ac:dyDescent="0.15">
      <c r="A26" s="42">
        <v>14</v>
      </c>
      <c r="B26" s="43">
        <v>42536</v>
      </c>
      <c r="C26" s="44" t="s">
        <v>41</v>
      </c>
      <c r="D26" s="42" t="s">
        <v>38</v>
      </c>
      <c r="E26" s="45" t="s">
        <v>60</v>
      </c>
      <c r="F26" s="46" t="s">
        <v>39</v>
      </c>
      <c r="G26" s="47" t="s">
        <v>50</v>
      </c>
      <c r="H26" s="48">
        <v>1</v>
      </c>
      <c r="I26" s="46" t="s">
        <v>39</v>
      </c>
      <c r="J26" s="49">
        <v>2</v>
      </c>
      <c r="K26" s="57">
        <f>IF(OR(Resultat!H26="",H26="",Resultat!J26="",J26=""),"",IF((H26=Resultat!H26)*(J26=Resultat!J26),Resultat!$AA$3+Resultat!$AA$4,IF(((H26-J26)&gt;0)*((Resultat!H26-Resultat!J26)&gt;0),Resultat!$AA$3,IF(((H26-J26)&lt;0)*((Resultat!H26-Resultat!J26)&lt;0),Resultat!$AA$3,IF(((H26-J26)=0)*((Resultat!H26-Resultat!J26)=0),Resultat!$AA$3,0)))))</f>
        <v>0</v>
      </c>
      <c r="L26" s="69">
        <f t="shared" si="0"/>
        <v>2</v>
      </c>
    </row>
    <row r="27" spans="1:16" x14ac:dyDescent="0.15">
      <c r="A27" s="42">
        <v>15</v>
      </c>
      <c r="B27" s="43">
        <v>42536</v>
      </c>
      <c r="C27" s="44" t="s">
        <v>42</v>
      </c>
      <c r="D27" s="42" t="s">
        <v>38</v>
      </c>
      <c r="E27" s="45" t="s">
        <v>51</v>
      </c>
      <c r="F27" s="46" t="s">
        <v>39</v>
      </c>
      <c r="G27" s="47" t="s">
        <v>61</v>
      </c>
      <c r="H27" s="48">
        <v>1</v>
      </c>
      <c r="I27" s="46" t="s">
        <v>39</v>
      </c>
      <c r="J27" s="49">
        <v>2</v>
      </c>
      <c r="K27" s="57">
        <f>IF(OR(Resultat!H27="",H27="",Resultat!J27="",J27=""),"",IF((H27=Resultat!H27)*(J27=Resultat!J27),Resultat!$AA$3+Resultat!$AA$4,IF(((H27-J27)&gt;0)*((Resultat!H27-Resultat!J27)&gt;0),Resultat!$AA$3,IF(((H27-J27)&lt;0)*((Resultat!H27-Resultat!J27)&lt;0),Resultat!$AA$3,IF(((H27-J27)=0)*((Resultat!H27-Resultat!J27)=0),Resultat!$AA$3,0)))))</f>
        <v>0</v>
      </c>
      <c r="L27" s="69">
        <f t="shared" si="0"/>
        <v>2</v>
      </c>
    </row>
    <row r="28" spans="1:16" x14ac:dyDescent="0.15">
      <c r="A28" s="42">
        <v>16</v>
      </c>
      <c r="B28" s="43">
        <v>42537</v>
      </c>
      <c r="C28" s="44" t="s">
        <v>59</v>
      </c>
      <c r="D28" s="42" t="s">
        <v>43</v>
      </c>
      <c r="E28" s="45" t="s">
        <v>47</v>
      </c>
      <c r="F28" s="46" t="s">
        <v>39</v>
      </c>
      <c r="G28" s="47" t="s">
        <v>62</v>
      </c>
      <c r="H28" s="48">
        <v>1</v>
      </c>
      <c r="I28" s="46" t="s">
        <v>39</v>
      </c>
      <c r="J28" s="49">
        <v>2</v>
      </c>
      <c r="K28" s="57">
        <f>IF(OR(Resultat!H28="",H28="",Resultat!J28="",J28=""),"",IF((H28=Resultat!H28)*(J28=Resultat!J28),Resultat!$AA$3+Resultat!$AA$4,IF(((H28-J28)&gt;0)*((Resultat!H28-Resultat!J28)&gt;0),Resultat!$AA$3,IF(((H28-J28)&lt;0)*((Resultat!H28-Resultat!J28)&lt;0),Resultat!$AA$3,IF(((H28-J28)=0)*((Resultat!H28-Resultat!J28)=0),Resultat!$AA$3,0)))))</f>
        <v>0</v>
      </c>
      <c r="L28" s="69">
        <f t="shared" si="0"/>
        <v>2</v>
      </c>
    </row>
    <row r="29" spans="1:16" x14ac:dyDescent="0.15">
      <c r="A29" s="42">
        <v>17</v>
      </c>
      <c r="B29" s="43">
        <v>42537</v>
      </c>
      <c r="C29" s="44" t="s">
        <v>41</v>
      </c>
      <c r="D29" s="42" t="s">
        <v>45</v>
      </c>
      <c r="E29" s="45" t="s">
        <v>67</v>
      </c>
      <c r="F29" s="46" t="s">
        <v>39</v>
      </c>
      <c r="G29" s="47" t="s">
        <v>66</v>
      </c>
      <c r="H29" s="48">
        <v>1</v>
      </c>
      <c r="I29" s="46" t="s">
        <v>39</v>
      </c>
      <c r="J29" s="49">
        <v>2</v>
      </c>
      <c r="K29" s="57">
        <f>IF(OR(Resultat!H29="",H29="",Resultat!J29="",J29=""),"",IF((H29=Resultat!H29)*(J29=Resultat!J29),Resultat!$AA$3+Resultat!$AA$4,IF(((H29-J29)&gt;0)*((Resultat!H29-Resultat!J29)&gt;0),Resultat!$AA$3,IF(((H29-J29)&lt;0)*((Resultat!H29-Resultat!J29)&lt;0),Resultat!$AA$3,IF(((H29-J29)=0)*((Resultat!H29-Resultat!J29)=0),Resultat!$AA$3,0)))))</f>
        <v>3</v>
      </c>
      <c r="L29" s="69">
        <f t="shared" si="0"/>
        <v>2</v>
      </c>
    </row>
    <row r="30" spans="1:16" x14ac:dyDescent="0.15">
      <c r="A30" s="42">
        <v>18</v>
      </c>
      <c r="B30" s="43">
        <v>42537</v>
      </c>
      <c r="C30" s="44" t="s">
        <v>42</v>
      </c>
      <c r="D30" s="42" t="s">
        <v>45</v>
      </c>
      <c r="E30" s="45" t="s">
        <v>53</v>
      </c>
      <c r="F30" s="46" t="s">
        <v>39</v>
      </c>
      <c r="G30" s="47" t="s">
        <v>65</v>
      </c>
      <c r="H30" s="48">
        <v>1</v>
      </c>
      <c r="I30" s="46" t="s">
        <v>39</v>
      </c>
      <c r="J30" s="49">
        <v>2</v>
      </c>
      <c r="K30" s="57">
        <f>IF(OR(Resultat!H30="",H30="",Resultat!J30="",J30=""),"",IF((H30=Resultat!H30)*(J30=Resultat!J30),Resultat!$AA$3+Resultat!$AA$4,IF(((H30-J30)&gt;0)*((Resultat!H30-Resultat!J30)&gt;0),Resultat!$AA$3,IF(((H30-J30)&lt;0)*((Resultat!H30-Resultat!J30)&lt;0),Resultat!$AA$3,IF(((H30-J30)=0)*((Resultat!H30-Resultat!J30)=0),Resultat!$AA$3,0)))))</f>
        <v>0</v>
      </c>
      <c r="L30" s="69">
        <f t="shared" si="0"/>
        <v>2</v>
      </c>
    </row>
    <row r="31" spans="1:16" x14ac:dyDescent="0.15">
      <c r="A31" s="42">
        <v>19</v>
      </c>
      <c r="B31" s="43">
        <v>42538</v>
      </c>
      <c r="C31" s="44" t="s">
        <v>59</v>
      </c>
      <c r="D31" s="42" t="s">
        <v>49</v>
      </c>
      <c r="E31" s="45" t="s">
        <v>48</v>
      </c>
      <c r="F31" s="46" t="s">
        <v>39</v>
      </c>
      <c r="G31" s="47" t="s">
        <v>70</v>
      </c>
      <c r="H31" s="48">
        <v>1</v>
      </c>
      <c r="I31" s="46" t="s">
        <v>39</v>
      </c>
      <c r="J31" s="49">
        <v>2</v>
      </c>
      <c r="K31" s="57">
        <f>IF(OR(Resultat!H31="",H31="",Resultat!J31="",J31=""),"",IF((H31=Resultat!H31)*(J31=Resultat!J31),Resultat!$AA$3+Resultat!$AA$4,IF(((H31-J31)&gt;0)*((Resultat!H31-Resultat!J31)&gt;0),Resultat!$AA$3,IF(((H31-J31)&lt;0)*((Resultat!H31-Resultat!J31)&lt;0),Resultat!$AA$3,IF(((H31-J31)=0)*((Resultat!H31-Resultat!J31)=0),Resultat!$AA$3,0)))))</f>
        <v>0</v>
      </c>
      <c r="L31" s="69">
        <f t="shared" si="0"/>
        <v>2</v>
      </c>
    </row>
    <row r="32" spans="1:16" x14ac:dyDescent="0.15">
      <c r="A32" s="42">
        <v>20</v>
      </c>
      <c r="B32" s="43">
        <v>42538</v>
      </c>
      <c r="C32" s="50" t="s">
        <v>41</v>
      </c>
      <c r="D32" s="42" t="s">
        <v>46</v>
      </c>
      <c r="E32" s="45" t="s">
        <v>68</v>
      </c>
      <c r="F32" s="46" t="s">
        <v>39</v>
      </c>
      <c r="G32" s="47" t="s">
        <v>40</v>
      </c>
      <c r="H32" s="48">
        <v>1</v>
      </c>
      <c r="I32" s="46" t="s">
        <v>39</v>
      </c>
      <c r="J32" s="49">
        <v>2</v>
      </c>
      <c r="K32" s="57">
        <f>IF(OR(Resultat!H32="",H32="",Resultat!J32="",J32=""),"",IF((H32=Resultat!H32)*(J32=Resultat!J32),Resultat!$AA$3+Resultat!$AA$4,IF(((H32-J32)&gt;0)*((Resultat!H32-Resultat!J32)&gt;0),Resultat!$AA$3,IF(((H32-J32)&lt;0)*((Resultat!H32-Resultat!J32)&lt;0),Resultat!$AA$3,IF(((H32-J32)=0)*((Resultat!H32-Resultat!J32)=0),Resultat!$AA$3,0)))))</f>
        <v>0</v>
      </c>
      <c r="L32" s="69">
        <f t="shared" si="0"/>
        <v>2</v>
      </c>
    </row>
    <row r="33" spans="1:12" x14ac:dyDescent="0.15">
      <c r="A33" s="42">
        <v>21</v>
      </c>
      <c r="B33" s="43">
        <v>42538</v>
      </c>
      <c r="C33" s="44" t="s">
        <v>42</v>
      </c>
      <c r="D33" s="42" t="s">
        <v>46</v>
      </c>
      <c r="E33" s="45" t="s">
        <v>44</v>
      </c>
      <c r="F33" s="46" t="s">
        <v>39</v>
      </c>
      <c r="G33" s="47" t="s">
        <v>64</v>
      </c>
      <c r="H33" s="48">
        <v>1</v>
      </c>
      <c r="I33" s="46" t="s">
        <v>39</v>
      </c>
      <c r="J33" s="49">
        <v>2</v>
      </c>
      <c r="K33" s="57">
        <f>IF(OR(Resultat!H33="",H33="",Resultat!J33="",J33=""),"",IF((H33=Resultat!H33)*(J33=Resultat!J33),Resultat!$AA$3+Resultat!$AA$4,IF(((H33-J33)&gt;0)*((Resultat!H33-Resultat!J33)&gt;0),Resultat!$AA$3,IF(((H33-J33)&lt;0)*((Resultat!H33-Resultat!J33)&lt;0),Resultat!$AA$3,IF(((H33-J33)=0)*((Resultat!H33-Resultat!J33)=0),Resultat!$AA$3,0)))))</f>
        <v>3</v>
      </c>
      <c r="L33" s="69">
        <f t="shared" si="0"/>
        <v>2</v>
      </c>
    </row>
    <row r="34" spans="1:12" x14ac:dyDescent="0.15">
      <c r="A34" s="42">
        <v>22</v>
      </c>
      <c r="B34" s="43">
        <v>42539</v>
      </c>
      <c r="C34" s="44" t="s">
        <v>59</v>
      </c>
      <c r="D34" s="42" t="s">
        <v>49</v>
      </c>
      <c r="E34" s="45" t="s">
        <v>55</v>
      </c>
      <c r="F34" s="46" t="s">
        <v>39</v>
      </c>
      <c r="G34" s="47" t="s">
        <v>69</v>
      </c>
      <c r="H34" s="48">
        <v>1</v>
      </c>
      <c r="I34" s="46" t="s">
        <v>39</v>
      </c>
      <c r="J34" s="49">
        <v>2</v>
      </c>
      <c r="K34" s="57">
        <f>IF(OR(Resultat!H34="",H34="",Resultat!J34="",J34=""),"",IF((H34=Resultat!H34)*(J34=Resultat!J34),Resultat!$AA$3+Resultat!$AA$4,IF(((H34-J34)&gt;0)*((Resultat!H34-Resultat!J34)&gt;0),Resultat!$AA$3,IF(((H34-J34)&lt;0)*((Resultat!H34-Resultat!J34)&lt;0),Resultat!$AA$3,IF(((H34-J34)=0)*((Resultat!H34-Resultat!J34)=0),Resultat!$AA$3,0)))))</f>
        <v>3</v>
      </c>
      <c r="L34" s="69">
        <f t="shared" si="0"/>
        <v>2</v>
      </c>
    </row>
    <row r="35" spans="1:12" x14ac:dyDescent="0.15">
      <c r="A35" s="42">
        <v>23</v>
      </c>
      <c r="B35" s="43">
        <v>42539</v>
      </c>
      <c r="C35" s="44" t="s">
        <v>41</v>
      </c>
      <c r="D35" s="42" t="s">
        <v>52</v>
      </c>
      <c r="E35" s="45" t="s">
        <v>73</v>
      </c>
      <c r="F35" s="46" t="s">
        <v>39</v>
      </c>
      <c r="G35" s="47" t="s">
        <v>72</v>
      </c>
      <c r="H35" s="48">
        <v>1</v>
      </c>
      <c r="I35" s="46" t="s">
        <v>39</v>
      </c>
      <c r="J35" s="49">
        <v>2</v>
      </c>
      <c r="K35" s="57">
        <f>IF(OR(Resultat!H35="",H35="",Resultat!J35="",J35=""),"",IF((H35=Resultat!H35)*(J35=Resultat!J35),Resultat!$AA$3+Resultat!$AA$4,IF(((H35-J35)&gt;0)*((Resultat!H35-Resultat!J35)&gt;0),Resultat!$AA$3,IF(((H35-J35)&lt;0)*((Resultat!H35-Resultat!J35)&lt;0),Resultat!$AA$3,IF(((H35-J35)=0)*((Resultat!H35-Resultat!J35)=0),Resultat!$AA$3,0)))))</f>
        <v>0</v>
      </c>
      <c r="L35" s="69">
        <f t="shared" si="0"/>
        <v>2</v>
      </c>
    </row>
    <row r="36" spans="1:12" x14ac:dyDescent="0.15">
      <c r="A36" s="42">
        <v>24</v>
      </c>
      <c r="B36" s="43">
        <v>42539</v>
      </c>
      <c r="C36" s="44" t="s">
        <v>42</v>
      </c>
      <c r="D36" s="42" t="s">
        <v>52</v>
      </c>
      <c r="E36" s="45" t="s">
        <v>54</v>
      </c>
      <c r="F36" s="46" t="s">
        <v>39</v>
      </c>
      <c r="G36" s="47" t="s">
        <v>71</v>
      </c>
      <c r="H36" s="48">
        <v>1</v>
      </c>
      <c r="I36" s="46" t="s">
        <v>39</v>
      </c>
      <c r="J36" s="49">
        <v>2</v>
      </c>
      <c r="K36" s="57">
        <f>IF(OR(Resultat!H36="",H36="",Resultat!J36="",J36=""),"",IF((H36=Resultat!H36)*(J36=Resultat!J36),Resultat!$AA$3+Resultat!$AA$4,IF(((H36-J36)&gt;0)*((Resultat!H36-Resultat!J36)&gt;0),Resultat!$AA$3,IF(((H36-J36)&lt;0)*((Resultat!H36-Resultat!J36)&lt;0),Resultat!$AA$3,IF(((H36-J36)=0)*((Resultat!H36-Resultat!J36)=0),Resultat!$AA$3,0)))))</f>
        <v>3</v>
      </c>
      <c r="L36" s="69">
        <f t="shared" si="0"/>
        <v>2</v>
      </c>
    </row>
    <row r="37" spans="1:12" x14ac:dyDescent="0.15">
      <c r="A37" s="42">
        <v>25</v>
      </c>
      <c r="B37" s="43">
        <v>42540</v>
      </c>
      <c r="C37" s="44" t="s">
        <v>42</v>
      </c>
      <c r="D37" s="42" t="s">
        <v>38</v>
      </c>
      <c r="E37" s="45" t="s">
        <v>50</v>
      </c>
      <c r="F37" s="46" t="s">
        <v>39</v>
      </c>
      <c r="G37" s="47" t="s">
        <v>51</v>
      </c>
      <c r="H37" s="48">
        <v>1</v>
      </c>
      <c r="I37" s="46" t="s">
        <v>39</v>
      </c>
      <c r="J37" s="49">
        <v>2</v>
      </c>
      <c r="K37" s="57">
        <f>IF(OR(Resultat!H37="",H37="",Resultat!J37="",J37=""),"",IF((H37=Resultat!H37)*(J37=Resultat!J37),Resultat!$AA$3+Resultat!$AA$4,IF(((H37-J37)&gt;0)*((Resultat!H37-Resultat!J37)&gt;0),Resultat!$AA$3,IF(((H37-J37)&lt;0)*((Resultat!H37-Resultat!J37)&lt;0),Resultat!$AA$3,IF(((H37-J37)=0)*((Resultat!H37-Resultat!J37)=0),Resultat!$AA$3,0)))))</f>
        <v>0</v>
      </c>
      <c r="L37" s="69">
        <f t="shared" si="0"/>
        <v>2</v>
      </c>
    </row>
    <row r="38" spans="1:12" x14ac:dyDescent="0.15">
      <c r="A38" s="42">
        <v>26</v>
      </c>
      <c r="B38" s="43">
        <v>42540</v>
      </c>
      <c r="C38" s="44" t="s">
        <v>42</v>
      </c>
      <c r="D38" s="42" t="s">
        <v>38</v>
      </c>
      <c r="E38" s="45" t="s">
        <v>60</v>
      </c>
      <c r="F38" s="46" t="s">
        <v>39</v>
      </c>
      <c r="G38" s="47" t="s">
        <v>61</v>
      </c>
      <c r="H38" s="48">
        <v>1</v>
      </c>
      <c r="I38" s="46" t="s">
        <v>39</v>
      </c>
      <c r="J38" s="49">
        <v>2</v>
      </c>
      <c r="K38" s="57">
        <f>IF(OR(Resultat!H38="",H38="",Resultat!J38="",J38=""),"",IF((H38=Resultat!H38)*(J38=Resultat!J38),Resultat!$AA$3+Resultat!$AA$4,IF(((H38-J38)&gt;0)*((Resultat!H38-Resultat!J38)&gt;0),Resultat!$AA$3,IF(((H38-J38)&lt;0)*((Resultat!H38-Resultat!J38)&lt;0),Resultat!$AA$3,IF(((H38-J38)=0)*((Resultat!H38-Resultat!J38)=0),Resultat!$AA$3,0)))))</f>
        <v>0</v>
      </c>
      <c r="L38" s="69">
        <f t="shared" si="0"/>
        <v>2</v>
      </c>
    </row>
    <row r="39" spans="1:12" x14ac:dyDescent="0.15">
      <c r="A39" s="42">
        <v>27</v>
      </c>
      <c r="B39" s="43">
        <v>42541</v>
      </c>
      <c r="C39" s="44" t="s">
        <v>42</v>
      </c>
      <c r="D39" s="42" t="s">
        <v>43</v>
      </c>
      <c r="E39" s="45" t="s">
        <v>63</v>
      </c>
      <c r="F39" s="46" t="s">
        <v>39</v>
      </c>
      <c r="G39" s="47" t="s">
        <v>47</v>
      </c>
      <c r="H39" s="48">
        <v>1</v>
      </c>
      <c r="I39" s="46" t="s">
        <v>39</v>
      </c>
      <c r="J39" s="49">
        <v>2</v>
      </c>
      <c r="K39" s="57">
        <f>IF(OR(Resultat!H39="",H39="",Resultat!J39="",J39=""),"",IF((H39=Resultat!H39)*(J39=Resultat!J39),Resultat!$AA$3+Resultat!$AA$4,IF(((H39-J39)&gt;0)*((Resultat!H39-Resultat!J39)&gt;0),Resultat!$AA$3,IF(((H39-J39)&lt;0)*((Resultat!H39-Resultat!J39)&lt;0),Resultat!$AA$3,IF(((H39-J39)=0)*((Resultat!H39-Resultat!J39)=0),Resultat!$AA$3,0)))))</f>
        <v>0</v>
      </c>
      <c r="L39" s="69">
        <f t="shared" si="0"/>
        <v>2</v>
      </c>
    </row>
    <row r="40" spans="1:12" x14ac:dyDescent="0.15">
      <c r="A40" s="42">
        <v>28</v>
      </c>
      <c r="B40" s="43">
        <v>42541</v>
      </c>
      <c r="C40" s="44" t="s">
        <v>42</v>
      </c>
      <c r="D40" s="42" t="s">
        <v>43</v>
      </c>
      <c r="E40" s="45" t="s">
        <v>56</v>
      </c>
      <c r="F40" s="46" t="s">
        <v>39</v>
      </c>
      <c r="G40" s="47" t="s">
        <v>62</v>
      </c>
      <c r="H40" s="48">
        <v>1</v>
      </c>
      <c r="I40" s="46" t="s">
        <v>39</v>
      </c>
      <c r="J40" s="49">
        <v>2</v>
      </c>
      <c r="K40" s="57">
        <f>IF(OR(Resultat!H40="",H40="",Resultat!J40="",J40=""),"",IF((H40=Resultat!H40)*(J40=Resultat!J40),Resultat!$AA$3+Resultat!$AA$4,IF(((H40-J40)&gt;0)*((Resultat!H40-Resultat!J40)&gt;0),Resultat!$AA$3,IF(((H40-J40)&lt;0)*((Resultat!H40-Resultat!J40)&lt;0),Resultat!$AA$3,IF(((H40-J40)=0)*((Resultat!H40-Resultat!J40)=0),Resultat!$AA$3,0)))))</f>
        <v>3</v>
      </c>
      <c r="L40" s="69">
        <f t="shared" si="0"/>
        <v>2</v>
      </c>
    </row>
    <row r="41" spans="1:12" x14ac:dyDescent="0.15">
      <c r="A41" s="42">
        <v>29</v>
      </c>
      <c r="B41" s="43">
        <v>42542</v>
      </c>
      <c r="C41" s="44" t="s">
        <v>41</v>
      </c>
      <c r="D41" s="42" t="s">
        <v>45</v>
      </c>
      <c r="E41" s="45" t="s">
        <v>66</v>
      </c>
      <c r="F41" s="46" t="s">
        <v>39</v>
      </c>
      <c r="G41" s="47" t="s">
        <v>53</v>
      </c>
      <c r="H41" s="48">
        <v>1</v>
      </c>
      <c r="I41" s="46" t="s">
        <v>39</v>
      </c>
      <c r="J41" s="49">
        <v>2</v>
      </c>
      <c r="K41" s="57">
        <f>IF(OR(Resultat!H41="",H41="",Resultat!J41="",J41=""),"",IF((H41=Resultat!H41)*(J41=Resultat!J41),Resultat!$AA$3+Resultat!$AA$4,IF(((H41-J41)&gt;0)*((Resultat!H41-Resultat!J41)&gt;0),Resultat!$AA$3,IF(((H41-J41)&lt;0)*((Resultat!H41-Resultat!J41)&lt;0),Resultat!$AA$3,IF(((H41-J41)=0)*((Resultat!H41-Resultat!J41)=0),Resultat!$AA$3,0)))))</f>
        <v>0</v>
      </c>
      <c r="L41" s="69">
        <f t="shared" si="0"/>
        <v>2</v>
      </c>
    </row>
    <row r="42" spans="1:12" x14ac:dyDescent="0.15">
      <c r="A42" s="42">
        <v>30</v>
      </c>
      <c r="B42" s="43">
        <v>42542</v>
      </c>
      <c r="C42" s="44" t="s">
        <v>41</v>
      </c>
      <c r="D42" s="42" t="s">
        <v>45</v>
      </c>
      <c r="E42" s="45" t="s">
        <v>67</v>
      </c>
      <c r="F42" s="46" t="s">
        <v>39</v>
      </c>
      <c r="G42" s="47" t="s">
        <v>65</v>
      </c>
      <c r="H42" s="48">
        <v>1</v>
      </c>
      <c r="I42" s="46" t="s">
        <v>39</v>
      </c>
      <c r="J42" s="49">
        <v>2</v>
      </c>
      <c r="K42" s="57">
        <f>IF(OR(Resultat!H42="",H42="",Resultat!J42="",J42=""),"",IF((H42=Resultat!H42)*(J42=Resultat!J42),Resultat!$AA$3+Resultat!$AA$4,IF(((H42-J42)&gt;0)*((Resultat!H42-Resultat!J42)&gt;0),Resultat!$AA$3,IF(((H42-J42)&lt;0)*((Resultat!H42-Resultat!J42)&lt;0),Resultat!$AA$3,IF(((H42-J42)=0)*((Resultat!H42-Resultat!J42)=0),Resultat!$AA$3,0)))))</f>
        <v>0</v>
      </c>
      <c r="L42" s="69">
        <f t="shared" si="0"/>
        <v>2</v>
      </c>
    </row>
    <row r="43" spans="1:12" x14ac:dyDescent="0.15">
      <c r="A43" s="42">
        <v>31</v>
      </c>
      <c r="B43" s="43">
        <v>42542</v>
      </c>
      <c r="C43" s="44" t="s">
        <v>42</v>
      </c>
      <c r="D43" s="42" t="s">
        <v>46</v>
      </c>
      <c r="E43" s="45" t="s">
        <v>40</v>
      </c>
      <c r="F43" s="46" t="s">
        <v>39</v>
      </c>
      <c r="G43" s="47" t="s">
        <v>44</v>
      </c>
      <c r="H43" s="48">
        <v>1</v>
      </c>
      <c r="I43" s="46" t="s">
        <v>39</v>
      </c>
      <c r="J43" s="49">
        <v>2</v>
      </c>
      <c r="K43" s="57">
        <f>IF(OR(Resultat!H43="",H43="",Resultat!J43="",J43=""),"",IF((H43=Resultat!H43)*(J43=Resultat!J43),Resultat!$AA$3+Resultat!$AA$4,IF(((H43-J43)&gt;0)*((Resultat!H43-Resultat!J43)&gt;0),Resultat!$AA$3,IF(((H43-J43)&lt;0)*((Resultat!H43-Resultat!J43)&lt;0),Resultat!$AA$3,IF(((H43-J43)=0)*((Resultat!H43-Resultat!J43)=0),Resultat!$AA$3,0)))))</f>
        <v>0</v>
      </c>
      <c r="L43" s="69">
        <f t="shared" si="0"/>
        <v>2</v>
      </c>
    </row>
    <row r="44" spans="1:12" x14ac:dyDescent="0.15">
      <c r="A44" s="42">
        <v>32</v>
      </c>
      <c r="B44" s="43">
        <v>42542</v>
      </c>
      <c r="C44" s="44" t="s">
        <v>42</v>
      </c>
      <c r="D44" s="42" t="s">
        <v>46</v>
      </c>
      <c r="E44" s="45" t="s">
        <v>68</v>
      </c>
      <c r="F44" s="46" t="s">
        <v>39</v>
      </c>
      <c r="G44" s="47" t="s">
        <v>64</v>
      </c>
      <c r="H44" s="48">
        <v>1</v>
      </c>
      <c r="I44" s="46" t="s">
        <v>39</v>
      </c>
      <c r="J44" s="49">
        <v>2</v>
      </c>
      <c r="K44" s="57" t="str">
        <f>IF(OR(Resultat!H44="",H44="",Resultat!J44="",J44=""),"",IF((H44=Resultat!H44)*(J44=Resultat!J44),Resultat!$AA$3+Resultat!$AA$4,IF(((H44-J44)&gt;0)*((Resultat!H44-Resultat!J44)&gt;0),Resultat!$AA$3,IF(((H44-J44)&lt;0)*((Resultat!H44-Resultat!J44)&lt;0),Resultat!$AA$3,IF(((H44-J44)=0)*((Resultat!H44-Resultat!J44)=0),Resultat!$AA$3,0)))))</f>
        <v/>
      </c>
      <c r="L44" s="69">
        <f t="shared" si="0"/>
        <v>2</v>
      </c>
    </row>
    <row r="45" spans="1:12" x14ac:dyDescent="0.15">
      <c r="A45" s="42">
        <v>33</v>
      </c>
      <c r="B45" s="43">
        <v>42543</v>
      </c>
      <c r="C45" s="44" t="s">
        <v>41</v>
      </c>
      <c r="D45" s="42" t="s">
        <v>52</v>
      </c>
      <c r="E45" s="45" t="s">
        <v>72</v>
      </c>
      <c r="F45" s="46" t="s">
        <v>39</v>
      </c>
      <c r="G45" s="47" t="s">
        <v>54</v>
      </c>
      <c r="H45" s="48">
        <v>1</v>
      </c>
      <c r="I45" s="46" t="s">
        <v>39</v>
      </c>
      <c r="J45" s="49">
        <v>2</v>
      </c>
      <c r="K45" s="57" t="str">
        <f>IF(OR(Resultat!H45="",H45="",Resultat!J45="",J45=""),"",IF((H45=Resultat!H45)*(J45=Resultat!J45),Resultat!$AA$3+Resultat!$AA$4,IF(((H45-J45)&gt;0)*((Resultat!H45-Resultat!J45)&gt;0),Resultat!$AA$3,IF(((H45-J45)&lt;0)*((Resultat!H45-Resultat!J45)&lt;0),Resultat!$AA$3,IF(((H45-J45)=0)*((Resultat!H45-Resultat!J45)=0),Resultat!$AA$3,0)))))</f>
        <v/>
      </c>
      <c r="L45" s="69">
        <f t="shared" si="0"/>
        <v>2</v>
      </c>
    </row>
    <row r="46" spans="1:12" x14ac:dyDescent="0.15">
      <c r="A46" s="42">
        <v>34</v>
      </c>
      <c r="B46" s="43">
        <v>42543</v>
      </c>
      <c r="C46" s="44" t="s">
        <v>41</v>
      </c>
      <c r="D46" s="42" t="s">
        <v>52</v>
      </c>
      <c r="E46" s="45" t="s">
        <v>73</v>
      </c>
      <c r="F46" s="46" t="s">
        <v>39</v>
      </c>
      <c r="G46" s="47" t="s">
        <v>71</v>
      </c>
      <c r="H46" s="48">
        <v>1</v>
      </c>
      <c r="I46" s="46" t="s">
        <v>39</v>
      </c>
      <c r="J46" s="49">
        <v>2</v>
      </c>
      <c r="K46" s="57" t="str">
        <f>IF(OR(Resultat!H46="",H46="",Resultat!J46="",J46=""),"",IF((H46=Resultat!H46)*(J46=Resultat!J46),Resultat!$AA$3+Resultat!$AA$4,IF(((H46-J46)&gt;0)*((Resultat!H46-Resultat!J46)&gt;0),Resultat!$AA$3,IF(((H46-J46)&lt;0)*((Resultat!H46-Resultat!J46)&lt;0),Resultat!$AA$3,IF(((H46-J46)=0)*((Resultat!H46-Resultat!J46)=0),Resultat!$AA$3,0)))))</f>
        <v/>
      </c>
      <c r="L46" s="69">
        <f t="shared" si="0"/>
        <v>2</v>
      </c>
    </row>
    <row r="47" spans="1:12" x14ac:dyDescent="0.15">
      <c r="A47" s="42">
        <v>35</v>
      </c>
      <c r="B47" s="43">
        <v>42543</v>
      </c>
      <c r="C47" s="44" t="s">
        <v>42</v>
      </c>
      <c r="D47" s="42" t="s">
        <v>49</v>
      </c>
      <c r="E47" s="45" t="s">
        <v>70</v>
      </c>
      <c r="F47" s="46" t="s">
        <v>39</v>
      </c>
      <c r="G47" s="47" t="s">
        <v>55</v>
      </c>
      <c r="H47" s="48">
        <v>1</v>
      </c>
      <c r="I47" s="46" t="s">
        <v>39</v>
      </c>
      <c r="J47" s="49">
        <v>2</v>
      </c>
      <c r="K47" s="57" t="str">
        <f>IF(OR(Resultat!H47="",H47="",Resultat!J47="",J47=""),"",IF((H47=Resultat!H47)*(J47=Resultat!J47),Resultat!$AA$3+Resultat!$AA$4,IF(((H47-J47)&gt;0)*((Resultat!H47-Resultat!J47)&gt;0),Resultat!$AA$3,IF(((H47-J47)&lt;0)*((Resultat!H47-Resultat!J47)&lt;0),Resultat!$AA$3,IF(((H47-J47)=0)*((Resultat!H47-Resultat!J47)=0),Resultat!$AA$3,0)))))</f>
        <v/>
      </c>
      <c r="L47" s="69">
        <f t="shared" si="0"/>
        <v>2</v>
      </c>
    </row>
    <row r="48" spans="1:12" ht="14" thickBot="1" x14ac:dyDescent="0.2">
      <c r="A48" s="77">
        <v>36</v>
      </c>
      <c r="B48" s="78">
        <v>42543</v>
      </c>
      <c r="C48" s="79" t="s">
        <v>42</v>
      </c>
      <c r="D48" s="77" t="s">
        <v>49</v>
      </c>
      <c r="E48" s="80" t="s">
        <v>48</v>
      </c>
      <c r="F48" s="81" t="s">
        <v>39</v>
      </c>
      <c r="G48" s="82" t="s">
        <v>69</v>
      </c>
      <c r="H48" s="83">
        <v>1</v>
      </c>
      <c r="I48" s="81" t="s">
        <v>39</v>
      </c>
      <c r="J48" s="84">
        <v>2</v>
      </c>
      <c r="K48" s="85" t="str">
        <f>IF(OR(Resultat!H48="",H48="",Resultat!J48="",J48=""),"",IF((H48=Resultat!H48)*(J48=Resultat!J48),Resultat!$AA$3+Resultat!$AA$4,IF(((H48-J48)&gt;0)*((Resultat!H48-Resultat!J48)&gt;0),Resultat!$AA$3,IF(((H48-J48)&lt;0)*((Resultat!H48-Resultat!J48)&lt;0),Resultat!$AA$3,IF(((H48-J48)=0)*((Resultat!H48-Resultat!J48)=0),Resultat!$AA$3,0)))))</f>
        <v/>
      </c>
      <c r="L48" s="69">
        <f t="shared" si="0"/>
        <v>2</v>
      </c>
    </row>
    <row r="49" spans="1:12" x14ac:dyDescent="0.15">
      <c r="A49" s="42">
        <v>37</v>
      </c>
      <c r="B49" s="43">
        <v>42546</v>
      </c>
      <c r="C49" s="44" t="s">
        <v>41</v>
      </c>
      <c r="D49" s="70">
        <v>0.125</v>
      </c>
      <c r="E49" s="45"/>
      <c r="F49" s="46" t="s">
        <v>39</v>
      </c>
      <c r="G49" s="47"/>
      <c r="H49" s="48"/>
      <c r="I49" s="46" t="s">
        <v>39</v>
      </c>
      <c r="J49" s="49"/>
      <c r="K49" s="57" t="str">
        <f>IF(OR(Resultat!H49="",H49="",Resultat!J49="",J49=""),"",IF((H49=Resultat!H49)*(J49=Resultat!J49),Resultat!$M$4+Resultat!$AA$4,IF(((H49-J49)&gt;0)*((Resultat!H49-Resultat!J49)&gt;0),Resultat!$M$4,IF(((H49-J49)&lt;0)*((Resultat!H49-Resultat!J49)&lt;0),Resultat!$M$4,IF(((H49-J49)=0)*((Resultat!H49-Resultat!J49)=0),Resultat!$M$4,0)))))</f>
        <v/>
      </c>
      <c r="L49" s="69" t="str">
        <f t="shared" si="0"/>
        <v>x</v>
      </c>
    </row>
    <row r="50" spans="1:12" x14ac:dyDescent="0.15">
      <c r="A50" s="42">
        <v>38</v>
      </c>
      <c r="B50" s="43">
        <v>42546</v>
      </c>
      <c r="C50" s="44" t="s">
        <v>37</v>
      </c>
      <c r="D50" s="70">
        <v>0.125</v>
      </c>
      <c r="E50" s="45"/>
      <c r="F50" s="46" t="s">
        <v>39</v>
      </c>
      <c r="G50" s="47"/>
      <c r="H50" s="48"/>
      <c r="I50" s="46" t="s">
        <v>39</v>
      </c>
      <c r="J50" s="49"/>
      <c r="K50" s="57" t="str">
        <f>IF(OR(Resultat!H50="",H50="",Resultat!J50="",J50=""),"",IF((H50=Resultat!H50)*(J50=Resultat!J50),Resultat!$M$4+Resultat!$AA$4,IF(((H50-J50)&gt;0)*((Resultat!H50-Resultat!J50)&gt;0),Resultat!$M$4,IF(((H50-J50)&lt;0)*((Resultat!H50-Resultat!J50)&lt;0),Resultat!$M$4,IF(((H50-J50)=0)*((Resultat!H50-Resultat!J50)=0),Resultat!$M$4,0)))))</f>
        <v/>
      </c>
      <c r="L50" s="69" t="str">
        <f t="shared" si="0"/>
        <v>x</v>
      </c>
    </row>
    <row r="51" spans="1:12" x14ac:dyDescent="0.15">
      <c r="A51" s="42">
        <v>39</v>
      </c>
      <c r="B51" s="43">
        <v>42546</v>
      </c>
      <c r="C51" s="44" t="s">
        <v>41</v>
      </c>
      <c r="D51" s="70">
        <v>0.125</v>
      </c>
      <c r="E51" s="45"/>
      <c r="F51" s="46" t="s">
        <v>39</v>
      </c>
      <c r="G51" s="47"/>
      <c r="H51" s="48"/>
      <c r="I51" s="46" t="s">
        <v>39</v>
      </c>
      <c r="J51" s="49"/>
      <c r="K51" s="57" t="str">
        <f>IF(OR(Resultat!H51="",H51="",Resultat!J51="",J51=""),"",IF((H51=Resultat!H51)*(J51=Resultat!J51),Resultat!$M$4+Resultat!$AA$4,IF(((H51-J51)&gt;0)*((Resultat!H51-Resultat!J51)&gt;0),Resultat!$M$4,IF(((H51-J51)&lt;0)*((Resultat!H51-Resultat!J51)&lt;0),Resultat!$M$4,IF(((H51-J51)=0)*((Resultat!H51-Resultat!J51)=0),Resultat!$M$4,0)))))</f>
        <v/>
      </c>
      <c r="L51" s="69" t="str">
        <f t="shared" si="0"/>
        <v>x</v>
      </c>
    </row>
    <row r="52" spans="1:12" x14ac:dyDescent="0.15">
      <c r="A52" s="42">
        <v>40</v>
      </c>
      <c r="B52" s="43">
        <v>42547</v>
      </c>
      <c r="C52" s="44" t="s">
        <v>37</v>
      </c>
      <c r="D52" s="70">
        <v>0.125</v>
      </c>
      <c r="E52" s="45"/>
      <c r="F52" s="46" t="s">
        <v>39</v>
      </c>
      <c r="G52" s="47"/>
      <c r="H52" s="48"/>
      <c r="I52" s="46" t="s">
        <v>39</v>
      </c>
      <c r="J52" s="49"/>
      <c r="K52" s="57" t="str">
        <f>IF(OR(Resultat!H52="",H52="",Resultat!J52="",J52=""),"",IF((H52=Resultat!H52)*(J52=Resultat!J52),Resultat!$M$4+Resultat!$AA$4,IF(((H52-J52)&gt;0)*((Resultat!H52-Resultat!J52)&gt;0),Resultat!$M$4,IF(((H52-J52)&lt;0)*((Resultat!H52-Resultat!J52)&lt;0),Resultat!$M$4,IF(((H52-J52)=0)*((Resultat!H52-Resultat!J52)=0),Resultat!$M$4,0)))))</f>
        <v/>
      </c>
      <c r="L52" s="69" t="str">
        <f t="shared" si="0"/>
        <v>x</v>
      </c>
    </row>
    <row r="53" spans="1:12" x14ac:dyDescent="0.15">
      <c r="A53" s="42">
        <v>41</v>
      </c>
      <c r="B53" s="43">
        <v>42547</v>
      </c>
      <c r="C53" s="44" t="s">
        <v>41</v>
      </c>
      <c r="D53" s="70">
        <v>0.125</v>
      </c>
      <c r="E53" s="45"/>
      <c r="F53" s="46" t="s">
        <v>39</v>
      </c>
      <c r="G53" s="47"/>
      <c r="H53" s="48"/>
      <c r="I53" s="46" t="s">
        <v>39</v>
      </c>
      <c r="J53" s="49"/>
      <c r="K53" s="57" t="str">
        <f>IF(OR(Resultat!H53="",H53="",Resultat!J53="",J53=""),"",IF((H53=Resultat!H53)*(J53=Resultat!J53),Resultat!$M$4+Resultat!$AA$4,IF(((H53-J53)&gt;0)*((Resultat!H53-Resultat!J53)&gt;0),Resultat!$M$4,IF(((H53-J53)&lt;0)*((Resultat!H53-Resultat!J53)&lt;0),Resultat!$M$4,IF(((H53-J53)=0)*((Resultat!H53-Resultat!J53)=0),Resultat!$M$4,0)))))</f>
        <v/>
      </c>
      <c r="L53" s="69" t="str">
        <f t="shared" si="0"/>
        <v>x</v>
      </c>
    </row>
    <row r="54" spans="1:12" x14ac:dyDescent="0.15">
      <c r="A54" s="42">
        <v>42</v>
      </c>
      <c r="B54" s="43">
        <v>42547</v>
      </c>
      <c r="C54" s="44" t="s">
        <v>37</v>
      </c>
      <c r="D54" s="70">
        <v>0.125</v>
      </c>
      <c r="E54" s="45"/>
      <c r="F54" s="46" t="s">
        <v>39</v>
      </c>
      <c r="G54" s="47"/>
      <c r="H54" s="48"/>
      <c r="I54" s="46" t="s">
        <v>39</v>
      </c>
      <c r="J54" s="49"/>
      <c r="K54" s="57" t="str">
        <f>IF(OR(Resultat!H54="",H54="",Resultat!J54="",J54=""),"",IF((H54=Resultat!H54)*(J54=Resultat!J54),Resultat!$M$4+Resultat!$AA$4,IF(((H54-J54)&gt;0)*((Resultat!H54-Resultat!J54)&gt;0),Resultat!$M$4,IF(((H54-J54)&lt;0)*((Resultat!H54-Resultat!J54)&lt;0),Resultat!$M$4,IF(((H54-J54)=0)*((Resultat!H54-Resultat!J54)=0),Resultat!$M$4,0)))))</f>
        <v/>
      </c>
      <c r="L54" s="69" t="str">
        <f t="shared" si="0"/>
        <v>x</v>
      </c>
    </row>
    <row r="55" spans="1:12" x14ac:dyDescent="0.15">
      <c r="A55" s="42">
        <v>43</v>
      </c>
      <c r="B55" s="43">
        <v>42548</v>
      </c>
      <c r="C55" s="44" t="s">
        <v>41</v>
      </c>
      <c r="D55" s="70">
        <v>0.125</v>
      </c>
      <c r="E55" s="45"/>
      <c r="F55" s="46" t="s">
        <v>39</v>
      </c>
      <c r="G55" s="47"/>
      <c r="H55" s="48"/>
      <c r="I55" s="46" t="s">
        <v>39</v>
      </c>
      <c r="J55" s="49"/>
      <c r="K55" s="57" t="str">
        <f>IF(OR(Resultat!H55="",H55="",Resultat!J55="",J55=""),"",IF((H55=Resultat!H55)*(J55=Resultat!J55),Resultat!$M$4+Resultat!$AA$4,IF(((H55-J55)&gt;0)*((Resultat!H55-Resultat!J55)&gt;0),Resultat!$M$4,IF(((H55-J55)&lt;0)*((Resultat!H55-Resultat!J55)&lt;0),Resultat!$M$4,IF(((H55-J55)=0)*((Resultat!H55-Resultat!J55)=0),Resultat!$M$4,0)))))</f>
        <v/>
      </c>
      <c r="L55" s="69" t="str">
        <f t="shared" si="0"/>
        <v>x</v>
      </c>
    </row>
    <row r="56" spans="1:12" x14ac:dyDescent="0.15">
      <c r="A56" s="42">
        <v>44</v>
      </c>
      <c r="B56" s="43">
        <v>42548</v>
      </c>
      <c r="C56" s="44" t="s">
        <v>37</v>
      </c>
      <c r="D56" s="70">
        <v>0.125</v>
      </c>
      <c r="E56" s="45"/>
      <c r="F56" s="46" t="s">
        <v>39</v>
      </c>
      <c r="G56" s="47"/>
      <c r="H56" s="48"/>
      <c r="I56" s="46" t="s">
        <v>39</v>
      </c>
      <c r="J56" s="49"/>
      <c r="K56" s="57" t="str">
        <f>IF(OR(Resultat!H56="",H56="",Resultat!J56="",J56=""),"",IF((H56=Resultat!H56)*(J56=Resultat!J56),Resultat!$M$4+Resultat!$AA$4,IF(((H56-J56)&gt;0)*((Resultat!H56-Resultat!J56)&gt;0),Resultat!$M$4,IF(((H56-J56)&lt;0)*((Resultat!H56-Resultat!J56)&lt;0),Resultat!$M$4,IF(((H56-J56)=0)*((Resultat!H56-Resultat!J56)=0),Resultat!$M$4,0)))))</f>
        <v/>
      </c>
      <c r="L56" s="69" t="str">
        <f t="shared" si="0"/>
        <v>x</v>
      </c>
    </row>
    <row r="57" spans="1:12" x14ac:dyDescent="0.15">
      <c r="A57" s="42">
        <v>45</v>
      </c>
      <c r="B57" s="43">
        <v>42551</v>
      </c>
      <c r="C57" s="44" t="s">
        <v>37</v>
      </c>
      <c r="D57" s="70">
        <v>0.25</v>
      </c>
      <c r="E57" s="45" t="str">
        <f>IF(J49="","",IF(H49&gt;J49,E49,G49))</f>
        <v/>
      </c>
      <c r="F57" s="46" t="s">
        <v>39</v>
      </c>
      <c r="G57" s="47" t="str">
        <f>IF(J51="","",IF(H51&gt;J51,E51,G51))</f>
        <v/>
      </c>
      <c r="H57" s="48"/>
      <c r="I57" s="46" t="s">
        <v>39</v>
      </c>
      <c r="J57" s="49"/>
      <c r="K57" s="57" t="str">
        <f>IF(OR(Resultat!H57="",H57="",Resultat!J57="",J57=""),"",IF((H57=Resultat!H57)*(J57=Resultat!J57),Resultat!$M$5+Resultat!$AA$4,IF(((H57-J57)&gt;0)*((Resultat!H57-Resultat!J57)&gt;0),Resultat!$M$5,IF(((H57-J57)&lt;0)*((Resultat!H57-Resultat!J57)&lt;0),Resultat!$M$5,IF(((H57-J57)=0)*((Resultat!H57-Resultat!J57)=0),Resultat!$M$5,0)))))</f>
        <v/>
      </c>
      <c r="L57" s="69" t="str">
        <f t="shared" si="0"/>
        <v>x</v>
      </c>
    </row>
    <row r="58" spans="1:12" x14ac:dyDescent="0.15">
      <c r="A58" s="42">
        <v>46</v>
      </c>
      <c r="B58" s="43">
        <v>42552</v>
      </c>
      <c r="C58" s="44" t="s">
        <v>41</v>
      </c>
      <c r="D58" s="70">
        <v>0.25</v>
      </c>
      <c r="E58" s="45" t="str">
        <f>IF(J50="","",IF(H50&gt;J50,E50,G50))</f>
        <v/>
      </c>
      <c r="F58" s="46" t="s">
        <v>39</v>
      </c>
      <c r="G58" s="47" t="str">
        <f>IF(J54="","",IF(H54&gt;J54,E54,G54))</f>
        <v/>
      </c>
      <c r="H58" s="48"/>
      <c r="I58" s="46" t="s">
        <v>39</v>
      </c>
      <c r="J58" s="49"/>
      <c r="K58" s="57" t="str">
        <f>IF(OR(Resultat!H58="",H58="",Resultat!J58="",J58=""),"",IF((H58=Resultat!H58)*(J58=Resultat!J58),Resultat!$M$5+Resultat!$AA$4,IF(((H58-J58)&gt;0)*((Resultat!H58-Resultat!J58)&gt;0),Resultat!$M$5,IF(((H58-J58)&lt;0)*((Resultat!H58-Resultat!J58)&lt;0),Resultat!$M$5,IF(((H58-J58)=0)*((Resultat!H58-Resultat!J58)=0),Resultat!$M$5,0)))))</f>
        <v/>
      </c>
      <c r="L58" s="69" t="str">
        <f t="shared" si="0"/>
        <v>x</v>
      </c>
    </row>
    <row r="59" spans="1:12" x14ac:dyDescent="0.15">
      <c r="A59" s="42">
        <v>47</v>
      </c>
      <c r="B59" s="43">
        <v>42553</v>
      </c>
      <c r="C59" s="44" t="s">
        <v>37</v>
      </c>
      <c r="D59" s="70">
        <v>0.25</v>
      </c>
      <c r="E59" s="45" t="str">
        <f>IF(J53="","",IF(H53&gt;J53,E53,G53))</f>
        <v/>
      </c>
      <c r="F59" s="46" t="s">
        <v>39</v>
      </c>
      <c r="G59" s="47" t="str">
        <f>IF(J55="","",IF(H55&gt;J55,E55,G55))</f>
        <v/>
      </c>
      <c r="H59" s="48"/>
      <c r="I59" s="46" t="s">
        <v>39</v>
      </c>
      <c r="J59" s="49"/>
      <c r="K59" s="57" t="str">
        <f>IF(OR(Resultat!H59="",H59="",Resultat!J59="",J59=""),"",IF((H59=Resultat!H59)*(J59=Resultat!J59),Resultat!$M$5+Resultat!$AA$4,IF(((H59-J59)&gt;0)*((Resultat!H59-Resultat!J59)&gt;0),Resultat!$M$5,IF(((H59-J59)&lt;0)*((Resultat!H59-Resultat!J59)&lt;0),Resultat!$M$5,IF(((H59-J59)=0)*((Resultat!H59-Resultat!J59)=0),Resultat!$M$5,0)))))</f>
        <v/>
      </c>
      <c r="L59" s="69" t="str">
        <f t="shared" si="0"/>
        <v>x</v>
      </c>
    </row>
    <row r="60" spans="1:12" x14ac:dyDescent="0.15">
      <c r="A60" s="42">
        <v>48</v>
      </c>
      <c r="B60" s="43">
        <v>42554</v>
      </c>
      <c r="C60" s="44" t="s">
        <v>41</v>
      </c>
      <c r="D60" s="70">
        <v>0.25</v>
      </c>
      <c r="E60" s="45" t="str">
        <f>IF(J52="","",IF(H52&gt;J52,E52,G52))</f>
        <v/>
      </c>
      <c r="F60" s="46" t="s">
        <v>39</v>
      </c>
      <c r="G60" s="47" t="str">
        <f>IF(J56="","",IF(H56&gt;J56,E56,G56))</f>
        <v/>
      </c>
      <c r="H60" s="48"/>
      <c r="I60" s="46" t="s">
        <v>39</v>
      </c>
      <c r="J60" s="49"/>
      <c r="K60" s="57" t="str">
        <f>IF(OR(Resultat!H60="",H60="",Resultat!J60="",J60=""),"",IF((H60=Resultat!H60)*(J60=Resultat!J60),Resultat!$M$5+Resultat!$AA$4,IF(((H60-J60)&gt;0)*((Resultat!H60-Resultat!J60)&gt;0),Resultat!$M$5,IF(((H60-J60)&lt;0)*((Resultat!H60-Resultat!J60)&lt;0),Resultat!$M$5,IF(((H60-J60)=0)*((Resultat!H60-Resultat!J60)=0),Resultat!$M$5,0)))))</f>
        <v/>
      </c>
      <c r="L60" s="69" t="str">
        <f t="shared" si="0"/>
        <v>x</v>
      </c>
    </row>
    <row r="61" spans="1:12" x14ac:dyDescent="0.15">
      <c r="A61" s="42">
        <v>49</v>
      </c>
      <c r="B61" s="43">
        <v>42557</v>
      </c>
      <c r="C61" s="44" t="s">
        <v>37</v>
      </c>
      <c r="D61" s="70" t="s">
        <v>57</v>
      </c>
      <c r="E61" s="45" t="str">
        <f>IF(J57="","",IF(H57&gt;J57,E57,G57))</f>
        <v/>
      </c>
      <c r="F61" s="46" t="s">
        <v>39</v>
      </c>
      <c r="G61" s="47" t="str">
        <f>IF(J58="","",IF(H58&gt;J58,E58,G58))</f>
        <v/>
      </c>
      <c r="H61" s="48"/>
      <c r="I61" s="46" t="s">
        <v>39</v>
      </c>
      <c r="J61" s="49"/>
      <c r="K61" s="57" t="str">
        <f>IF(OR(Resultat!H61="",H61="",Resultat!J61="",J61=""),"",IF((H61=Resultat!H61)*(J61=Resultat!J61),Resultat!$M$6+Resultat!$AA$4,IF(((H61-J61)&gt;0)*((Resultat!H61-Resultat!J61)&gt;0),Resultat!$M$6,IF(((H61-J61)&lt;0)*((Resultat!H61-Resultat!J61)&lt;0),Resultat!$M$6,IF(((H61-J61)=0)*((Resultat!H61-Resultat!J61)=0),Resultat!$M$6,0)))))</f>
        <v/>
      </c>
      <c r="L61" s="69" t="str">
        <f t="shared" si="0"/>
        <v>x</v>
      </c>
    </row>
    <row r="62" spans="1:12" x14ac:dyDescent="0.15">
      <c r="A62" s="42">
        <v>50</v>
      </c>
      <c r="B62" s="43">
        <v>42558</v>
      </c>
      <c r="C62" s="44" t="s">
        <v>37</v>
      </c>
      <c r="D62" s="70" t="s">
        <v>58</v>
      </c>
      <c r="E62" s="45" t="str">
        <f>IF(J59="","",IF(H59&gt;J59,E59,G59))</f>
        <v/>
      </c>
      <c r="F62" s="46" t="s">
        <v>39</v>
      </c>
      <c r="G62" s="47" t="str">
        <f>IF(J60="","",IF(H60&gt;J60,E60,G60))</f>
        <v/>
      </c>
      <c r="H62" s="48"/>
      <c r="I62" s="46" t="s">
        <v>39</v>
      </c>
      <c r="J62" s="49"/>
      <c r="K62" s="57" t="str">
        <f>IF(OR(Resultat!H62="",H62="",Resultat!J62="",J62=""),"",IF((H62=Resultat!H62)*(J62=Resultat!J62),Resultat!$M$6+Resultat!$AA$4,IF(((H62-J62)&gt;0)*((Resultat!H62-Resultat!J62)&gt;0),Resultat!$M$6,IF(((H62-J62)&lt;0)*((Resultat!H62-Resultat!J62)&lt;0),Resultat!$M$6,IF(((H62-J62)=0)*((Resultat!H62-Resultat!J62)=0),Resultat!$M$6,0)))))</f>
        <v/>
      </c>
      <c r="L62" s="69" t="str">
        <f t="shared" si="0"/>
        <v>x</v>
      </c>
    </row>
    <row r="63" spans="1:12" x14ac:dyDescent="0.15">
      <c r="A63" s="42">
        <v>51</v>
      </c>
      <c r="B63" s="43">
        <v>42561</v>
      </c>
      <c r="C63" s="44" t="s">
        <v>42</v>
      </c>
      <c r="D63" s="70" t="s">
        <v>23</v>
      </c>
      <c r="E63" s="45" t="str">
        <f>IF(J61="","",IF(H61&gt;J61,E61,G61))</f>
        <v/>
      </c>
      <c r="F63" s="46" t="s">
        <v>39</v>
      </c>
      <c r="G63" s="47" t="str">
        <f>IF(J62="","",IF(H62&gt;J62,E62,G62))</f>
        <v/>
      </c>
      <c r="H63" s="48"/>
      <c r="I63" s="46" t="s">
        <v>39</v>
      </c>
      <c r="J63" s="49"/>
      <c r="K63" s="57" t="str">
        <f>IF(OR(Resultat!H63="",H63="",Resultat!J63="",J63=""),"",IF((H63=Resultat!H63)*(J63=Resultat!J63),Resultat!$AA$3+Resultat!$AA$4,IF(((H63-J63)&gt;0)*((Resultat!H63-Resultat!J63)&gt;0),Resultat!$AA$3,IF(((H63-J63)&lt;0)*((Resultat!H63-Resultat!J63)&lt;0),Resultat!$AA$3,IF(((H63-J63)=0)*((Resultat!H63-Resultat!J63)=0),Resultat!$AA$3,0)))))</f>
        <v/>
      </c>
      <c r="L63" s="69" t="str">
        <f t="shared" si="0"/>
        <v>x</v>
      </c>
    </row>
    <row r="75" spans="1:1" x14ac:dyDescent="0.15">
      <c r="A75" s="51"/>
    </row>
    <row r="76" spans="1:1" x14ac:dyDescent="0.15">
      <c r="A76" s="51"/>
    </row>
    <row r="77" spans="1:1" x14ac:dyDescent="0.15">
      <c r="A77" s="51"/>
    </row>
  </sheetData>
  <mergeCells count="3">
    <mergeCell ref="E12:G12"/>
    <mergeCell ref="H12:J12"/>
    <mergeCell ref="H1:J1"/>
  </mergeCells>
  <phoneticPr fontId="15" type="noConversion"/>
  <conditionalFormatting sqref="A14:B14 B15:B16 D14:G14 I14 K33:K63">
    <cfRule type="expression" dxfId="221" priority="36">
      <formula>$H14&lt;&gt;""</formula>
    </cfRule>
  </conditionalFormatting>
  <conditionalFormatting sqref="A15 D15:G15 I15">
    <cfRule type="expression" dxfId="220" priority="35">
      <formula>$H15&lt;&gt;""</formula>
    </cfRule>
  </conditionalFormatting>
  <conditionalFormatting sqref="A16 D16:G16 I16">
    <cfRule type="expression" dxfId="219" priority="34">
      <formula>$H16&lt;&gt;""</formula>
    </cfRule>
  </conditionalFormatting>
  <conditionalFormatting sqref="A17:G17 B18:B48 C18 I17">
    <cfRule type="expression" dxfId="218" priority="33">
      <formula>$H17&lt;&gt;""</formula>
    </cfRule>
  </conditionalFormatting>
  <conditionalFormatting sqref="A18 D18:G18 I18">
    <cfRule type="expression" dxfId="217" priority="32">
      <formula>$H18&lt;&gt;""</formula>
    </cfRule>
  </conditionalFormatting>
  <conditionalFormatting sqref="A19 C19:G19 C20:C22 I19">
    <cfRule type="expression" dxfId="216" priority="31">
      <formula>$H19&lt;&gt;""</formula>
    </cfRule>
  </conditionalFormatting>
  <conditionalFormatting sqref="A20 D20:G20 I20">
    <cfRule type="expression" dxfId="215" priority="30">
      <formula>$H20&lt;&gt;""</formula>
    </cfRule>
  </conditionalFormatting>
  <conditionalFormatting sqref="A21 D21:G21 I21">
    <cfRule type="expression" dxfId="214" priority="29">
      <formula>$H21&lt;&gt;""</formula>
    </cfRule>
  </conditionalFormatting>
  <conditionalFormatting sqref="A22 D22:G22 I22">
    <cfRule type="expression" dxfId="213" priority="28">
      <formula>$H22&lt;&gt;""</formula>
    </cfRule>
  </conditionalFormatting>
  <conditionalFormatting sqref="A23 C23:G23 I23">
    <cfRule type="expression" dxfId="212" priority="27">
      <formula>$H23&lt;&gt;""</formula>
    </cfRule>
  </conditionalFormatting>
  <conditionalFormatting sqref="A24 C24:G24 I24">
    <cfRule type="expression" dxfId="211" priority="26">
      <formula>$H24&lt;&gt;""</formula>
    </cfRule>
  </conditionalFormatting>
  <conditionalFormatting sqref="A25 C25:G25 I25">
    <cfRule type="expression" dxfId="210" priority="25">
      <formula>$H25&lt;&gt;""</formula>
    </cfRule>
  </conditionalFormatting>
  <conditionalFormatting sqref="A26 C26:G26 I26">
    <cfRule type="expression" dxfId="209" priority="24">
      <formula>$H26&lt;&gt;""</formula>
    </cfRule>
  </conditionalFormatting>
  <conditionalFormatting sqref="A27 C27:G27 I27">
    <cfRule type="expression" dxfId="208" priority="23">
      <formula>$H27&lt;&gt;""</formula>
    </cfRule>
  </conditionalFormatting>
  <conditionalFormatting sqref="A28 C28:G28 I28">
    <cfRule type="expression" dxfId="207" priority="22">
      <formula>$H28&lt;&gt;""</formula>
    </cfRule>
  </conditionalFormatting>
  <conditionalFormatting sqref="A29 C29:G29 I29">
    <cfRule type="expression" dxfId="206" priority="21">
      <formula>$H29&lt;&gt;""</formula>
    </cfRule>
  </conditionalFormatting>
  <conditionalFormatting sqref="A30 C30:G30 I30">
    <cfRule type="expression" dxfId="205" priority="20">
      <formula>$H30&lt;&gt;""</formula>
    </cfRule>
  </conditionalFormatting>
  <conditionalFormatting sqref="A31 C31:G31 I31">
    <cfRule type="expression" dxfId="204" priority="19">
      <formula>$H31&lt;&gt;""</formula>
    </cfRule>
  </conditionalFormatting>
  <conditionalFormatting sqref="A32 C32:G32 I32">
    <cfRule type="expression" dxfId="203" priority="18">
      <formula>$H32&lt;&gt;""</formula>
    </cfRule>
  </conditionalFormatting>
  <conditionalFormatting sqref="A33 C33:G33 I33">
    <cfRule type="expression" dxfId="202" priority="17">
      <formula>$H33&lt;&gt;""</formula>
    </cfRule>
  </conditionalFormatting>
  <conditionalFormatting sqref="A34 C34:G34 I34">
    <cfRule type="expression" dxfId="201" priority="16">
      <formula>$H34&lt;&gt;""</formula>
    </cfRule>
  </conditionalFormatting>
  <conditionalFormatting sqref="A35 C35:G35 I35">
    <cfRule type="expression" dxfId="200" priority="15">
      <formula>$H35&lt;&gt;""</formula>
    </cfRule>
  </conditionalFormatting>
  <conditionalFormatting sqref="A36 C36:G36 I36">
    <cfRule type="expression" dxfId="199" priority="14">
      <formula>$H36&lt;&gt;""</formula>
    </cfRule>
  </conditionalFormatting>
  <conditionalFormatting sqref="A37 C37:G37 I37">
    <cfRule type="expression" dxfId="198" priority="13">
      <formula>$H37&lt;&gt;""</formula>
    </cfRule>
  </conditionalFormatting>
  <conditionalFormatting sqref="A38 C38:G38 I38">
    <cfRule type="expression" dxfId="197" priority="12">
      <formula>$H38&lt;&gt;""</formula>
    </cfRule>
  </conditionalFormatting>
  <conditionalFormatting sqref="A39 C39:G39 I39">
    <cfRule type="expression" dxfId="196" priority="11">
      <formula>$H39&lt;&gt;""</formula>
    </cfRule>
  </conditionalFormatting>
  <conditionalFormatting sqref="A40 C40:G40 I40">
    <cfRule type="expression" dxfId="195" priority="10">
      <formula>$H40&lt;&gt;""</formula>
    </cfRule>
  </conditionalFormatting>
  <conditionalFormatting sqref="A41 C41:G41 I41">
    <cfRule type="expression" dxfId="194" priority="9">
      <formula>$H41&lt;&gt;""</formula>
    </cfRule>
  </conditionalFormatting>
  <conditionalFormatting sqref="A42 C42:G42 I42">
    <cfRule type="expression" dxfId="193" priority="8">
      <formula>$H42&lt;&gt;""</formula>
    </cfRule>
  </conditionalFormatting>
  <conditionalFormatting sqref="A43 C43:G43 I43">
    <cfRule type="expression" dxfId="192" priority="7">
      <formula>$H43&lt;&gt;""</formula>
    </cfRule>
  </conditionalFormatting>
  <conditionalFormatting sqref="A44 C44:G44 I44">
    <cfRule type="expression" dxfId="191" priority="6">
      <formula>$H44&lt;&gt;""</formula>
    </cfRule>
  </conditionalFormatting>
  <conditionalFormatting sqref="A45 C45:G45 I45">
    <cfRule type="expression" dxfId="190" priority="5">
      <formula>$H45&lt;&gt;""</formula>
    </cfRule>
  </conditionalFormatting>
  <conditionalFormatting sqref="A46 C46:G46 I46">
    <cfRule type="expression" dxfId="189" priority="4">
      <formula>$H46&lt;&gt;""</formula>
    </cfRule>
  </conditionalFormatting>
  <conditionalFormatting sqref="A47 C47:G47 I47">
    <cfRule type="expression" dxfId="188" priority="3">
      <formula>$H47&lt;&gt;""</formula>
    </cfRule>
  </conditionalFormatting>
  <conditionalFormatting sqref="A48 C48:G48 I48">
    <cfRule type="expression" dxfId="187" priority="2">
      <formula>$H48&lt;&gt;""</formula>
    </cfRule>
  </conditionalFormatting>
  <conditionalFormatting sqref="A13:J13 C14:C16 H14:H48 J32:K32 J14:J31 K13:K31 J33:J48">
    <cfRule type="expression" dxfId="186" priority="1">
      <formula>$H13&lt;&gt;""</formula>
    </cfRule>
  </conditionalFormatting>
  <pageMargins left="0.7" right="0.7" top="0.75" bottom="0.75" header="0.3" footer="0.3"/>
  <pageSetup paperSize="9" orientation="landscape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 enableFormatConditionsCalculation="0">
    <pageSetUpPr autoPageBreaks="0"/>
  </sheetPr>
  <dimension ref="A1:Y77"/>
  <sheetViews>
    <sheetView workbookViewId="0">
      <pane ySplit="12" topLeftCell="A13" activePane="bottomLeft" state="frozen"/>
      <selection pane="bottomLeft" activeCell="J39" sqref="J39"/>
    </sheetView>
  </sheetViews>
  <sheetFormatPr baseColWidth="10" defaultColWidth="8.83203125" defaultRowHeight="13" x14ac:dyDescent="0.15"/>
  <cols>
    <col min="1" max="1" width="8.5" style="34" customWidth="1"/>
    <col min="2" max="2" width="11.83203125" style="34" customWidth="1"/>
    <col min="3" max="3" width="8.83203125" style="34"/>
    <col min="4" max="4" width="8.83203125" style="34" customWidth="1"/>
    <col min="5" max="5" width="14.83203125" style="34" bestFit="1" customWidth="1"/>
    <col min="6" max="6" width="1.5" style="34" bestFit="1" customWidth="1"/>
    <col min="7" max="7" width="14.83203125" style="34" bestFit="1" customWidth="1"/>
    <col min="8" max="8" width="5.1640625" style="34" customWidth="1"/>
    <col min="9" max="9" width="1.5" style="34" customWidth="1"/>
    <col min="10" max="10" width="5.1640625" style="34" customWidth="1"/>
    <col min="11" max="11" width="6.1640625" style="34" customWidth="1"/>
    <col min="12" max="12" width="12.33203125" style="34" customWidth="1"/>
    <col min="13" max="13" width="8.83203125" style="34" customWidth="1"/>
    <col min="14" max="14" width="10.83203125" style="34" customWidth="1"/>
    <col min="15" max="15" width="13.33203125" style="34" customWidth="1"/>
    <col min="16" max="16384" width="8.83203125" style="34"/>
  </cols>
  <sheetData>
    <row r="1" spans="1:25" ht="20" x14ac:dyDescent="0.2">
      <c r="A1" s="1" t="s">
        <v>89</v>
      </c>
      <c r="B1" s="2"/>
      <c r="C1" s="2"/>
      <c r="D1" s="2"/>
      <c r="E1" s="3"/>
      <c r="F1" s="3"/>
      <c r="G1" s="3"/>
      <c r="H1" s="99" t="s">
        <v>95</v>
      </c>
      <c r="I1" s="99"/>
      <c r="J1" s="99"/>
      <c r="K1" s="67">
        <f>SUM(K13:K63)+SUM(P16:P19)</f>
        <v>41</v>
      </c>
      <c r="L1" s="3"/>
      <c r="M1" s="3"/>
      <c r="N1" s="31" t="s">
        <v>0</v>
      </c>
      <c r="O1" s="32"/>
      <c r="P1" s="32"/>
      <c r="Q1" s="32"/>
      <c r="R1" s="32"/>
      <c r="S1" s="32" t="s">
        <v>1</v>
      </c>
      <c r="T1" s="32"/>
      <c r="U1" s="32" t="s">
        <v>1</v>
      </c>
      <c r="V1" s="32"/>
      <c r="W1" s="32"/>
      <c r="X1" s="32"/>
      <c r="Y1" s="33"/>
    </row>
    <row r="2" spans="1:25" ht="12.75" customHeight="1" x14ac:dyDescent="0.15">
      <c r="A2" s="5" t="s">
        <v>2</v>
      </c>
      <c r="B2" s="6"/>
      <c r="C2" s="6"/>
      <c r="D2" s="6"/>
      <c r="E2" s="7"/>
      <c r="F2" s="7"/>
      <c r="G2" s="7"/>
      <c r="H2" s="8"/>
      <c r="I2" s="8"/>
      <c r="J2" s="8"/>
      <c r="K2" s="8"/>
      <c r="L2" s="7"/>
      <c r="M2" s="7"/>
      <c r="N2" s="35" t="s">
        <v>3</v>
      </c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</row>
    <row r="3" spans="1:25" ht="12.75" customHeight="1" x14ac:dyDescent="0.15">
      <c r="A3" s="9" t="s">
        <v>4</v>
      </c>
      <c r="B3" s="10"/>
      <c r="C3" s="10"/>
      <c r="D3" s="10"/>
      <c r="E3" s="10" t="s">
        <v>5</v>
      </c>
      <c r="F3" s="11"/>
      <c r="G3" s="12"/>
      <c r="H3" s="12"/>
      <c r="I3" s="12"/>
      <c r="J3" s="12"/>
      <c r="K3" s="12"/>
      <c r="L3" s="12" t="s">
        <v>6</v>
      </c>
      <c r="M3" s="12"/>
      <c r="N3" s="35" t="s">
        <v>7</v>
      </c>
      <c r="O3" s="36"/>
      <c r="P3" s="36"/>
      <c r="Q3" s="36"/>
      <c r="R3" s="36"/>
      <c r="S3" s="36"/>
      <c r="T3" s="36"/>
      <c r="U3" s="36"/>
      <c r="V3" s="36"/>
      <c r="W3" s="36"/>
      <c r="X3" s="36"/>
      <c r="Y3" s="37"/>
    </row>
    <row r="4" spans="1:25" ht="12.75" customHeight="1" x14ac:dyDescent="0.15">
      <c r="A4" s="13" t="s">
        <v>8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4" t="s">
        <v>9</v>
      </c>
      <c r="M4" s="16">
        <v>4</v>
      </c>
      <c r="N4" s="38"/>
      <c r="O4" s="36"/>
      <c r="P4" s="36"/>
      <c r="Q4" s="36"/>
      <c r="R4" s="36"/>
      <c r="S4" s="36"/>
      <c r="T4" s="36"/>
      <c r="U4" s="36"/>
      <c r="V4" s="36"/>
      <c r="W4" s="36"/>
      <c r="X4" s="36"/>
      <c r="Y4" s="37"/>
    </row>
    <row r="5" spans="1:25" ht="12.75" customHeight="1" x14ac:dyDescent="0.15">
      <c r="A5" s="17" t="s">
        <v>10</v>
      </c>
      <c r="B5" s="18"/>
      <c r="C5" s="18"/>
      <c r="D5" s="18"/>
      <c r="E5" s="18" t="s">
        <v>11</v>
      </c>
      <c r="F5" s="18"/>
      <c r="G5" s="18"/>
      <c r="H5" s="19"/>
      <c r="I5" s="19"/>
      <c r="J5" s="19"/>
      <c r="K5" s="19"/>
      <c r="L5" s="18" t="s">
        <v>12</v>
      </c>
      <c r="M5" s="20">
        <v>6</v>
      </c>
      <c r="N5" s="35" t="s">
        <v>13</v>
      </c>
      <c r="O5" s="36"/>
      <c r="P5" s="36"/>
      <c r="Q5" s="36"/>
      <c r="R5" s="36"/>
      <c r="S5" s="36"/>
      <c r="T5" s="36"/>
      <c r="U5" s="36"/>
      <c r="V5" s="36"/>
      <c r="W5" s="36"/>
      <c r="X5" s="36"/>
      <c r="Y5" s="37"/>
    </row>
    <row r="6" spans="1:25" ht="12.75" customHeight="1" x14ac:dyDescent="0.15">
      <c r="A6" s="17" t="s">
        <v>14</v>
      </c>
      <c r="B6" s="18"/>
      <c r="C6" s="18"/>
      <c r="D6" s="18"/>
      <c r="E6" s="18" t="s">
        <v>15</v>
      </c>
      <c r="F6" s="18"/>
      <c r="G6" s="18"/>
      <c r="H6" s="19"/>
      <c r="I6" s="19"/>
      <c r="J6" s="19"/>
      <c r="K6" s="19"/>
      <c r="L6" s="18" t="s">
        <v>16</v>
      </c>
      <c r="M6" s="20">
        <v>10</v>
      </c>
      <c r="N6" s="38" t="s">
        <v>17</v>
      </c>
      <c r="O6" s="36"/>
      <c r="P6" s="36"/>
      <c r="Q6" s="36"/>
      <c r="R6" s="36"/>
      <c r="S6" s="36"/>
      <c r="T6" s="36"/>
      <c r="U6" s="36"/>
      <c r="V6" s="36"/>
      <c r="W6" s="36"/>
      <c r="X6" s="36"/>
      <c r="Y6" s="37"/>
    </row>
    <row r="7" spans="1:25" ht="12.75" customHeight="1" x14ac:dyDescent="0.15">
      <c r="A7" s="17" t="s">
        <v>18</v>
      </c>
      <c r="B7" s="18"/>
      <c r="C7" s="18"/>
      <c r="D7" s="18"/>
      <c r="E7" s="18" t="s">
        <v>19</v>
      </c>
      <c r="F7" s="18"/>
      <c r="G7" s="18"/>
      <c r="H7" s="19"/>
      <c r="I7" s="19"/>
      <c r="J7" s="19"/>
      <c r="K7" s="19"/>
      <c r="L7" s="18" t="s">
        <v>20</v>
      </c>
      <c r="M7" s="20">
        <v>14</v>
      </c>
      <c r="N7" s="38" t="s">
        <v>21</v>
      </c>
      <c r="O7" s="36"/>
      <c r="P7" s="36"/>
      <c r="Q7" s="36"/>
      <c r="R7" s="36"/>
      <c r="S7" s="36"/>
      <c r="T7" s="36"/>
      <c r="U7" s="36"/>
      <c r="V7" s="36"/>
      <c r="W7" s="36"/>
      <c r="X7" s="36"/>
      <c r="Y7" s="37"/>
    </row>
    <row r="8" spans="1:25" ht="12.75" customHeight="1" x14ac:dyDescent="0.15">
      <c r="A8" s="17" t="s">
        <v>22</v>
      </c>
      <c r="B8" s="18"/>
      <c r="C8" s="18"/>
      <c r="D8" s="18"/>
      <c r="E8" s="18"/>
      <c r="F8" s="18"/>
      <c r="G8" s="18"/>
      <c r="H8" s="19"/>
      <c r="I8" s="19"/>
      <c r="J8" s="19"/>
      <c r="K8" s="19"/>
      <c r="L8" s="18" t="s">
        <v>23</v>
      </c>
      <c r="M8" s="20">
        <v>16</v>
      </c>
      <c r="N8" s="38" t="s">
        <v>24</v>
      </c>
      <c r="O8" s="36"/>
      <c r="P8" s="36"/>
      <c r="Q8" s="36"/>
      <c r="R8" s="36"/>
      <c r="S8" s="36"/>
      <c r="T8" s="36"/>
      <c r="U8" s="36"/>
      <c r="V8" s="36"/>
      <c r="W8" s="36"/>
      <c r="X8" s="36"/>
      <c r="Y8" s="37"/>
    </row>
    <row r="9" spans="1:25" ht="12.75" customHeight="1" x14ac:dyDescent="0.15">
      <c r="A9" s="17" t="s">
        <v>25</v>
      </c>
      <c r="B9" s="18"/>
      <c r="C9" s="18"/>
      <c r="D9" s="18"/>
      <c r="E9" s="18"/>
      <c r="F9" s="18"/>
      <c r="G9" s="18"/>
      <c r="H9" s="19"/>
      <c r="I9" s="19"/>
      <c r="J9" s="19"/>
      <c r="K9" s="19"/>
      <c r="L9" s="18"/>
      <c r="M9" s="18"/>
      <c r="N9" s="35" t="s">
        <v>26</v>
      </c>
      <c r="O9" s="36"/>
      <c r="P9" s="36"/>
      <c r="Q9" s="36"/>
      <c r="R9" s="36"/>
      <c r="S9" s="36"/>
      <c r="T9" s="36"/>
      <c r="U9" s="36"/>
      <c r="V9" s="36"/>
      <c r="W9" s="36"/>
      <c r="X9" s="36"/>
      <c r="Y9" s="37"/>
    </row>
    <row r="10" spans="1:25" ht="12.75" customHeight="1" x14ac:dyDescent="0.15">
      <c r="A10" s="21" t="s">
        <v>27</v>
      </c>
      <c r="B10" s="22"/>
      <c r="C10" s="22"/>
      <c r="D10" s="22"/>
      <c r="E10" s="22"/>
      <c r="F10" s="22"/>
      <c r="G10" s="22"/>
      <c r="H10" s="23"/>
      <c r="I10" s="23"/>
      <c r="J10" s="23"/>
      <c r="K10" s="23"/>
      <c r="L10" s="22"/>
      <c r="M10" s="22"/>
      <c r="N10" s="38" t="s">
        <v>28</v>
      </c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7"/>
    </row>
    <row r="11" spans="1:25" ht="12.75" customHeight="1" x14ac:dyDescent="0.15">
      <c r="A11" s="1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5"/>
      <c r="M11" s="26"/>
      <c r="N11" s="39" t="s">
        <v>29</v>
      </c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1"/>
    </row>
    <row r="12" spans="1:25" x14ac:dyDescent="0.15">
      <c r="A12" s="27" t="s">
        <v>30</v>
      </c>
      <c r="B12" s="25" t="s">
        <v>31</v>
      </c>
      <c r="C12" s="30" t="s">
        <v>32</v>
      </c>
      <c r="D12" s="30" t="s">
        <v>33</v>
      </c>
      <c r="E12" s="95" t="s">
        <v>34</v>
      </c>
      <c r="F12" s="96"/>
      <c r="G12" s="95"/>
      <c r="H12" s="95" t="s">
        <v>35</v>
      </c>
      <c r="I12" s="95"/>
      <c r="J12" s="95"/>
      <c r="K12" s="29" t="s">
        <v>90</v>
      </c>
      <c r="L12" s="29" t="s">
        <v>96</v>
      </c>
      <c r="M12" s="29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</row>
    <row r="13" spans="1:25" x14ac:dyDescent="0.15">
      <c r="A13" s="42">
        <v>1</v>
      </c>
      <c r="B13" s="43">
        <v>42531</v>
      </c>
      <c r="C13" s="44" t="s">
        <v>42</v>
      </c>
      <c r="D13" s="42" t="s">
        <v>38</v>
      </c>
      <c r="E13" s="45" t="s">
        <v>51</v>
      </c>
      <c r="F13" s="46" t="s">
        <v>39</v>
      </c>
      <c r="G13" s="47" t="s">
        <v>60</v>
      </c>
      <c r="H13" s="48">
        <v>1</v>
      </c>
      <c r="I13" s="46" t="s">
        <v>39</v>
      </c>
      <c r="J13" s="49">
        <v>0</v>
      </c>
      <c r="K13" s="57">
        <f>IF(OR(Resultat!H13="",H13="",Resultat!J13="",J13=""),"",IF((H13=Resultat!H13)*(J13=Resultat!J13),Resultat!$AA$3+Resultat!$AA$4,IF(((H13-J13)&gt;0)*((Resultat!H13-Resultat!J13)&gt;0),Resultat!$AA$3,IF(((H13-J13)&lt;0)*((Resultat!H13-Resultat!J13)&lt;0),Resultat!$AA$3,IF(((H13-J13)=0)*((Resultat!H13-Resultat!J13)=0),Resultat!$AA$3,0)))))</f>
        <v>0</v>
      </c>
      <c r="L13" s="69">
        <f>IF(H13&gt;J13,1,IF(H13=J13,"x",IF(H13&lt;J13,2)))</f>
        <v>1</v>
      </c>
    </row>
    <row r="14" spans="1:25" x14ac:dyDescent="0.15">
      <c r="A14" s="42">
        <v>2</v>
      </c>
      <c r="B14" s="43">
        <v>42532</v>
      </c>
      <c r="C14" s="44" t="s">
        <v>59</v>
      </c>
      <c r="D14" s="42" t="s">
        <v>38</v>
      </c>
      <c r="E14" s="45" t="s">
        <v>61</v>
      </c>
      <c r="F14" s="46" t="s">
        <v>39</v>
      </c>
      <c r="G14" s="47" t="s">
        <v>50</v>
      </c>
      <c r="H14" s="48">
        <v>1</v>
      </c>
      <c r="I14" s="46" t="s">
        <v>39</v>
      </c>
      <c r="J14" s="49">
        <v>1</v>
      </c>
      <c r="K14" s="57">
        <f>IF(OR(Resultat!H14="",H14="",Resultat!J14="",J14=""),"",IF((H14=Resultat!H14)*(J14=Resultat!J14),Resultat!$AA$3+Resultat!$AA$4,IF(((H14-J14)&gt;0)*((Resultat!H14-Resultat!J14)&gt;0),Resultat!$AA$3,IF(((H14-J14)&lt;0)*((Resultat!H14-Resultat!J14)&lt;0),Resultat!$AA$3,IF(((H14-J14)=0)*((Resultat!H14-Resultat!J14)=0),Resultat!$AA$3,0)))))</f>
        <v>0</v>
      </c>
      <c r="L14" s="69" t="str">
        <f t="shared" ref="L14:L63" si="0">IF(H14&gt;J14,1,IF(H14=J14,"x",IF(H14&lt;J14,2)))</f>
        <v>x</v>
      </c>
    </row>
    <row r="15" spans="1:25" ht="13" customHeight="1" x14ac:dyDescent="0.2">
      <c r="A15" s="42">
        <v>3</v>
      </c>
      <c r="B15" s="43">
        <v>42532</v>
      </c>
      <c r="C15" s="44" t="s">
        <v>41</v>
      </c>
      <c r="D15" s="42" t="s">
        <v>43</v>
      </c>
      <c r="E15" s="45" t="s">
        <v>62</v>
      </c>
      <c r="F15" s="46" t="s">
        <v>39</v>
      </c>
      <c r="G15" s="47" t="s">
        <v>63</v>
      </c>
      <c r="H15" s="48">
        <v>1</v>
      </c>
      <c r="I15" s="46" t="s">
        <v>39</v>
      </c>
      <c r="J15" s="49">
        <v>0</v>
      </c>
      <c r="K15" s="57">
        <f>IF(OR(Resultat!H15="",H15="",Resultat!J15="",J15=""),"",IF((H15=Resultat!H15)*(J15=Resultat!J15),Resultat!$AA$3+Resultat!$AA$4,IF(((H15-J15)&gt;0)*((Resultat!H15-Resultat!J15)&gt;0),Resultat!$AA$3,IF(((H15-J15)&lt;0)*((Resultat!H15-Resultat!J15)&lt;0),Resultat!$AA$3,IF(((H15-J15)=0)*((Resultat!H15-Resultat!J15)=0),Resultat!$AA$3,0)))))</f>
        <v>0</v>
      </c>
      <c r="L15" s="69">
        <f t="shared" si="0"/>
        <v>1</v>
      </c>
      <c r="N15" s="58"/>
      <c r="O15" s="59"/>
      <c r="P15" s="60" t="s">
        <v>90</v>
      </c>
    </row>
    <row r="16" spans="1:25" ht="13" customHeight="1" x14ac:dyDescent="0.2">
      <c r="A16" s="42">
        <v>4</v>
      </c>
      <c r="B16" s="43">
        <v>42532</v>
      </c>
      <c r="C16" s="44" t="s">
        <v>42</v>
      </c>
      <c r="D16" s="42" t="s">
        <v>43</v>
      </c>
      <c r="E16" s="45" t="s">
        <v>47</v>
      </c>
      <c r="F16" s="46" t="s">
        <v>39</v>
      </c>
      <c r="G16" s="47" t="s">
        <v>56</v>
      </c>
      <c r="H16" s="48">
        <v>1</v>
      </c>
      <c r="I16" s="46" t="s">
        <v>39</v>
      </c>
      <c r="J16" s="49">
        <v>0</v>
      </c>
      <c r="K16" s="57">
        <f>IF(OR(Resultat!H16="",H16="",Resultat!J16="",J16=""),"",IF((H16=Resultat!H16)*(J16=Resultat!J16),Resultat!$AA$3+Resultat!$AA$4,IF(((H16-J16)&gt;0)*((Resultat!H16-Resultat!J16)&gt;0),Resultat!$AA$3,IF(((H16-J16)&lt;0)*((Resultat!H16-Resultat!J16)&lt;0),Resultat!$AA$3,IF(((H16-J16)=0)*((Resultat!H16-Resultat!J16)=0),Resultat!$AA$3,0)))))</f>
        <v>3</v>
      </c>
      <c r="L16" s="69">
        <f t="shared" si="0"/>
        <v>1</v>
      </c>
      <c r="N16" s="61" t="s">
        <v>91</v>
      </c>
      <c r="O16" s="62" t="s">
        <v>47</v>
      </c>
      <c r="P16" s="63">
        <f>Resultat!$AA$6*(SUMPRODUCT((Resultat!J$13:J$64&lt;&gt;"")*(Resultat!$E$13:$E$64=O16)*(Resultat!$J$13:$J$64=0)))+Resultat!$AA$6*(SUMPRODUCT((Resultat!$H$13:$H$64&lt;&gt;"")*(Resultat!$G$13:$G$64=O16)*(Resultat!$H$13:$H$64=0)))</f>
        <v>4</v>
      </c>
    </row>
    <row r="17" spans="1:16" ht="13" customHeight="1" x14ac:dyDescent="0.2">
      <c r="A17" s="42">
        <v>5</v>
      </c>
      <c r="B17" s="43">
        <v>42533</v>
      </c>
      <c r="C17" s="44" t="s">
        <v>59</v>
      </c>
      <c r="D17" s="42" t="s">
        <v>46</v>
      </c>
      <c r="E17" s="45" t="s">
        <v>64</v>
      </c>
      <c r="F17" s="46" t="s">
        <v>39</v>
      </c>
      <c r="G17" s="47" t="s">
        <v>40</v>
      </c>
      <c r="H17" s="48">
        <v>1</v>
      </c>
      <c r="I17" s="46" t="s">
        <v>39</v>
      </c>
      <c r="J17" s="49">
        <v>0</v>
      </c>
      <c r="K17" s="57">
        <f>IF(OR(Resultat!H17="",H17="",Resultat!J17="",J17=""),"",IF((H17=Resultat!H17)*(J17=Resultat!J17),Resultat!$AA$3+Resultat!$AA$4,IF(((H17-J17)&gt;0)*((Resultat!H17-Resultat!J17)&gt;0),Resultat!$AA$3,IF(((H17-J17)&lt;0)*((Resultat!H17-Resultat!J17)&lt;0),Resultat!$AA$3,IF(((H17-J17)=0)*((Resultat!H17-Resultat!J17)=0),Resultat!$AA$3,0)))))</f>
        <v>0</v>
      </c>
      <c r="L17" s="69">
        <f t="shared" si="0"/>
        <v>1</v>
      </c>
      <c r="N17" s="61" t="s">
        <v>92</v>
      </c>
      <c r="O17" s="62" t="s">
        <v>110</v>
      </c>
      <c r="P17" s="63">
        <f>COUNTIF(Resultat!$K$13:$AB$64,O17)*Resultat!$AA$6</f>
        <v>4</v>
      </c>
    </row>
    <row r="18" spans="1:16" ht="13" customHeight="1" x14ac:dyDescent="0.2">
      <c r="A18" s="42">
        <v>6</v>
      </c>
      <c r="B18" s="43">
        <v>42533</v>
      </c>
      <c r="C18" s="44" t="s">
        <v>41</v>
      </c>
      <c r="D18" s="42" t="s">
        <v>45</v>
      </c>
      <c r="E18" s="45" t="s">
        <v>65</v>
      </c>
      <c r="F18" s="46" t="s">
        <v>39</v>
      </c>
      <c r="G18" s="47" t="s">
        <v>66</v>
      </c>
      <c r="H18" s="48">
        <v>1</v>
      </c>
      <c r="I18" s="46" t="s">
        <v>39</v>
      </c>
      <c r="J18" s="49">
        <v>0</v>
      </c>
      <c r="K18" s="57">
        <f>IF(OR(Resultat!H18="",H18="",Resultat!J18="",J18=""),"",IF((H18=Resultat!H18)*(J18=Resultat!J18),Resultat!$AA$3+Resultat!$AA$4,IF(((H18-J18)&gt;0)*((Resultat!H18-Resultat!J18)&gt;0),Resultat!$AA$3,IF(((H18-J18)&lt;0)*((Resultat!H18-Resultat!J18)&lt;0),Resultat!$AA$3,IF(((H18-J18)=0)*((Resultat!H18-Resultat!J18)=0),Resultat!$AA$3,0)))))</f>
        <v>3</v>
      </c>
      <c r="L18" s="69">
        <f t="shared" si="0"/>
        <v>1</v>
      </c>
      <c r="N18" s="61" t="s">
        <v>93</v>
      </c>
      <c r="O18" s="62" t="s">
        <v>113</v>
      </c>
      <c r="P18" s="63">
        <f>COUNTIF(Resultat!$K$13:$AB$64,O18)*Resultat!$AA$6</f>
        <v>2</v>
      </c>
    </row>
    <row r="19" spans="1:16" ht="13" customHeight="1" x14ac:dyDescent="0.2">
      <c r="A19" s="42">
        <v>7</v>
      </c>
      <c r="B19" s="43">
        <v>42533</v>
      </c>
      <c r="C19" s="44" t="s">
        <v>42</v>
      </c>
      <c r="D19" s="42" t="s">
        <v>45</v>
      </c>
      <c r="E19" s="45" t="s">
        <v>53</v>
      </c>
      <c r="F19" s="46" t="s">
        <v>39</v>
      </c>
      <c r="G19" s="47" t="s">
        <v>67</v>
      </c>
      <c r="H19" s="48">
        <v>1</v>
      </c>
      <c r="I19" s="46" t="s">
        <v>39</v>
      </c>
      <c r="J19" s="49">
        <v>0</v>
      </c>
      <c r="K19" s="57">
        <f>IF(OR(Resultat!H19="",H19="",Resultat!J19="",J19=""),"",IF((H19=Resultat!H19)*(J19=Resultat!J19),Resultat!$AA$3+Resultat!$AA$4,IF(((H19-J19)&gt;0)*((Resultat!H19-Resultat!J19)&gt;0),Resultat!$AA$3,IF(((H19-J19)&lt;0)*((Resultat!H19-Resultat!J19)&lt;0),Resultat!$AA$3,IF(((H19-J19)=0)*((Resultat!H19-Resultat!J19)=0),Resultat!$AA$3,0)))))</f>
        <v>3</v>
      </c>
      <c r="L19" s="69">
        <f t="shared" si="0"/>
        <v>1</v>
      </c>
      <c r="N19" s="64" t="s">
        <v>94</v>
      </c>
      <c r="O19" s="65" t="s">
        <v>114</v>
      </c>
      <c r="P19" s="66">
        <f>COUNTIF(Resultat!$K$13:$AB$64,O19)*Resultat!$AA$6</f>
        <v>0</v>
      </c>
    </row>
    <row r="20" spans="1:16" x14ac:dyDescent="0.15">
      <c r="A20" s="42">
        <v>8</v>
      </c>
      <c r="B20" s="43">
        <v>42534</v>
      </c>
      <c r="C20" s="44" t="s">
        <v>59</v>
      </c>
      <c r="D20" s="42" t="s">
        <v>46</v>
      </c>
      <c r="E20" s="45" t="s">
        <v>44</v>
      </c>
      <c r="F20" s="46" t="s">
        <v>39</v>
      </c>
      <c r="G20" s="47" t="s">
        <v>68</v>
      </c>
      <c r="H20" s="48">
        <v>1</v>
      </c>
      <c r="I20" s="46" t="s">
        <v>39</v>
      </c>
      <c r="J20" s="49">
        <v>1</v>
      </c>
      <c r="K20" s="57">
        <f>IF(OR(Resultat!H20="",H20="",Resultat!J20="",J20=""),"",IF((H20=Resultat!H20)*(J20=Resultat!J20),Resultat!$AA$3+Resultat!$AA$4,IF(((H20-J20)&gt;0)*((Resultat!H20-Resultat!J20)&gt;0),Resultat!$AA$3,IF(((H20-J20)&lt;0)*((Resultat!H20-Resultat!J20)&lt;0),Resultat!$AA$3,IF(((H20-J20)=0)*((Resultat!H20-Resultat!J20)=0),Resultat!$AA$3,0)))))</f>
        <v>2</v>
      </c>
      <c r="L20" s="69" t="str">
        <f t="shared" si="0"/>
        <v>x</v>
      </c>
    </row>
    <row r="21" spans="1:16" x14ac:dyDescent="0.15">
      <c r="A21" s="42">
        <v>9</v>
      </c>
      <c r="B21" s="43">
        <v>42534</v>
      </c>
      <c r="C21" s="44" t="s">
        <v>41</v>
      </c>
      <c r="D21" s="42" t="s">
        <v>49</v>
      </c>
      <c r="E21" s="45" t="s">
        <v>69</v>
      </c>
      <c r="F21" s="46" t="s">
        <v>39</v>
      </c>
      <c r="G21" s="47" t="s">
        <v>70</v>
      </c>
      <c r="H21" s="48">
        <v>1</v>
      </c>
      <c r="I21" s="46" t="s">
        <v>39</v>
      </c>
      <c r="J21" s="49">
        <v>0</v>
      </c>
      <c r="K21" s="57">
        <f>IF(OR(Resultat!H21="",H21="",Resultat!J21="",J21=""),"",IF((H21=Resultat!H21)*(J21=Resultat!J21),Resultat!$AA$3+Resultat!$AA$4,IF(((H21-J21)&gt;0)*((Resultat!H21-Resultat!J21)&gt;0),Resultat!$AA$3,IF(((H21-J21)&lt;0)*((Resultat!H21-Resultat!J21)&lt;0),Resultat!$AA$3,IF(((H21-J21)=0)*((Resultat!H21-Resultat!J21)=0),Resultat!$AA$3,0)))))</f>
        <v>3</v>
      </c>
      <c r="L21" s="69">
        <f t="shared" si="0"/>
        <v>1</v>
      </c>
    </row>
    <row r="22" spans="1:16" x14ac:dyDescent="0.15">
      <c r="A22" s="42">
        <v>10</v>
      </c>
      <c r="B22" s="43">
        <v>42534</v>
      </c>
      <c r="C22" s="44" t="s">
        <v>42</v>
      </c>
      <c r="D22" s="42" t="s">
        <v>49</v>
      </c>
      <c r="E22" s="45" t="s">
        <v>55</v>
      </c>
      <c r="F22" s="46" t="s">
        <v>39</v>
      </c>
      <c r="G22" s="47" t="s">
        <v>48</v>
      </c>
      <c r="H22" s="48">
        <v>1</v>
      </c>
      <c r="I22" s="46" t="s">
        <v>39</v>
      </c>
      <c r="J22" s="49">
        <v>0</v>
      </c>
      <c r="K22" s="57">
        <f>IF(OR(Resultat!H22="",H22="",Resultat!J22="",J22=""),"",IF((H22=Resultat!H22)*(J22=Resultat!J22),Resultat!$AA$3+Resultat!$AA$4,IF(((H22-J22)&gt;0)*((Resultat!H22-Resultat!J22)&gt;0),Resultat!$AA$3,IF(((H22-J22)&lt;0)*((Resultat!H22-Resultat!J22)&lt;0),Resultat!$AA$3,IF(((H22-J22)=0)*((Resultat!H22-Resultat!J22)=0),Resultat!$AA$3,0)))))</f>
        <v>0</v>
      </c>
      <c r="L22" s="69">
        <f t="shared" si="0"/>
        <v>1</v>
      </c>
    </row>
    <row r="23" spans="1:16" x14ac:dyDescent="0.15">
      <c r="A23" s="42">
        <v>11</v>
      </c>
      <c r="B23" s="43">
        <v>42535</v>
      </c>
      <c r="C23" s="44" t="s">
        <v>41</v>
      </c>
      <c r="D23" s="42" t="s">
        <v>52</v>
      </c>
      <c r="E23" s="45" t="s">
        <v>71</v>
      </c>
      <c r="F23" s="46" t="s">
        <v>39</v>
      </c>
      <c r="G23" s="47" t="s">
        <v>72</v>
      </c>
      <c r="H23" s="48">
        <v>1</v>
      </c>
      <c r="I23" s="46" t="s">
        <v>39</v>
      </c>
      <c r="J23" s="49">
        <v>0</v>
      </c>
      <c r="K23" s="57">
        <f>IF(OR(Resultat!H23="",H23="",Resultat!J23="",J23=""),"",IF((H23=Resultat!H23)*(J23=Resultat!J23),Resultat!$AA$3+Resultat!$AA$4,IF(((H23-J23)&gt;0)*((Resultat!H23-Resultat!J23)&gt;0),Resultat!$AA$3,IF(((H23-J23)&lt;0)*((Resultat!H23-Resultat!J23)&lt;0),Resultat!$AA$3,IF(((H23-J23)=0)*((Resultat!H23-Resultat!J23)=0),Resultat!$AA$3,0)))))</f>
        <v>2</v>
      </c>
      <c r="L23" s="69">
        <f t="shared" si="0"/>
        <v>1</v>
      </c>
    </row>
    <row r="24" spans="1:16" x14ac:dyDescent="0.15">
      <c r="A24" s="42">
        <v>12</v>
      </c>
      <c r="B24" s="43">
        <v>42535</v>
      </c>
      <c r="C24" s="44" t="s">
        <v>42</v>
      </c>
      <c r="D24" s="42" t="s">
        <v>52</v>
      </c>
      <c r="E24" s="45" t="s">
        <v>54</v>
      </c>
      <c r="F24" s="46" t="s">
        <v>39</v>
      </c>
      <c r="G24" s="47" t="s">
        <v>73</v>
      </c>
      <c r="H24" s="48">
        <v>1</v>
      </c>
      <c r="I24" s="46" t="s">
        <v>39</v>
      </c>
      <c r="J24" s="49">
        <v>0</v>
      </c>
      <c r="K24" s="57">
        <f>IF(OR(Resultat!H24="",H24="",Resultat!J24="",J24=""),"",IF((H24=Resultat!H24)*(J24=Resultat!J24),Resultat!$AA$3+Resultat!$AA$4,IF(((H24-J24)&gt;0)*((Resultat!H24-Resultat!J24)&gt;0),Resultat!$AA$3,IF(((H24-J24)&lt;0)*((Resultat!H24-Resultat!J24)&lt;0),Resultat!$AA$3,IF(((H24-J24)=0)*((Resultat!H24-Resultat!J24)=0),Resultat!$AA$3,0)))))</f>
        <v>0</v>
      </c>
      <c r="L24" s="69">
        <f t="shared" si="0"/>
        <v>1</v>
      </c>
    </row>
    <row r="25" spans="1:16" x14ac:dyDescent="0.15">
      <c r="A25" s="42">
        <v>13</v>
      </c>
      <c r="B25" s="43">
        <v>42536</v>
      </c>
      <c r="C25" s="44" t="s">
        <v>59</v>
      </c>
      <c r="D25" s="42" t="s">
        <v>43</v>
      </c>
      <c r="E25" s="45" t="s">
        <v>56</v>
      </c>
      <c r="F25" s="46" t="s">
        <v>39</v>
      </c>
      <c r="G25" s="47" t="s">
        <v>63</v>
      </c>
      <c r="H25" s="48">
        <v>1</v>
      </c>
      <c r="I25" s="46" t="s">
        <v>39</v>
      </c>
      <c r="J25" s="49">
        <v>1</v>
      </c>
      <c r="K25" s="57">
        <f>IF(OR(Resultat!H25="",H25="",Resultat!J25="",J25=""),"",IF((H25=Resultat!H25)*(J25=Resultat!J25),Resultat!$AA$3+Resultat!$AA$4,IF(((H25-J25)&gt;0)*((Resultat!H25-Resultat!J25)&gt;0),Resultat!$AA$3,IF(((H25-J25)&lt;0)*((Resultat!H25-Resultat!J25)&lt;0),Resultat!$AA$3,IF(((H25-J25)=0)*((Resultat!H25-Resultat!J25)=0),Resultat!$AA$3,0)))))</f>
        <v>3</v>
      </c>
      <c r="L25" s="69" t="str">
        <f t="shared" si="0"/>
        <v>x</v>
      </c>
    </row>
    <row r="26" spans="1:16" x14ac:dyDescent="0.15">
      <c r="A26" s="42">
        <v>14</v>
      </c>
      <c r="B26" s="43">
        <v>42536</v>
      </c>
      <c r="C26" s="44" t="s">
        <v>41</v>
      </c>
      <c r="D26" s="42" t="s">
        <v>38</v>
      </c>
      <c r="E26" s="45" t="s">
        <v>60</v>
      </c>
      <c r="F26" s="46" t="s">
        <v>39</v>
      </c>
      <c r="G26" s="47" t="s">
        <v>50</v>
      </c>
      <c r="H26" s="48">
        <v>1</v>
      </c>
      <c r="I26" s="46" t="s">
        <v>39</v>
      </c>
      <c r="J26" s="49">
        <v>0</v>
      </c>
      <c r="K26" s="57">
        <f>IF(OR(Resultat!H26="",H26="",Resultat!J26="",J26=""),"",IF((H26=Resultat!H26)*(J26=Resultat!J26),Resultat!$AA$3+Resultat!$AA$4,IF(((H26-J26)&gt;0)*((Resultat!H26-Resultat!J26)&gt;0),Resultat!$AA$3,IF(((H26-J26)&lt;0)*((Resultat!H26-Resultat!J26)&lt;0),Resultat!$AA$3,IF(((H26-J26)=0)*((Resultat!H26-Resultat!J26)=0),Resultat!$AA$3,0)))))</f>
        <v>2</v>
      </c>
      <c r="L26" s="69">
        <f t="shared" si="0"/>
        <v>1</v>
      </c>
    </row>
    <row r="27" spans="1:16" x14ac:dyDescent="0.15">
      <c r="A27" s="42">
        <v>15</v>
      </c>
      <c r="B27" s="43">
        <v>42536</v>
      </c>
      <c r="C27" s="44" t="s">
        <v>42</v>
      </c>
      <c r="D27" s="42" t="s">
        <v>38</v>
      </c>
      <c r="E27" s="45" t="s">
        <v>51</v>
      </c>
      <c r="F27" s="46" t="s">
        <v>39</v>
      </c>
      <c r="G27" s="47" t="s">
        <v>61</v>
      </c>
      <c r="H27" s="48">
        <v>1</v>
      </c>
      <c r="I27" s="46" t="s">
        <v>39</v>
      </c>
      <c r="J27" s="49">
        <v>0</v>
      </c>
      <c r="K27" s="57">
        <f>IF(OR(Resultat!H27="",H27="",Resultat!J27="",J27=""),"",IF((H27=Resultat!H27)*(J27=Resultat!J27),Resultat!$AA$3+Resultat!$AA$4,IF(((H27-J27)&gt;0)*((Resultat!H27-Resultat!J27)&gt;0),Resultat!$AA$3,IF(((H27-J27)&lt;0)*((Resultat!H27-Resultat!J27)&lt;0),Resultat!$AA$3,IF(((H27-J27)=0)*((Resultat!H27-Resultat!J27)=0),Resultat!$AA$3,0)))))</f>
        <v>2</v>
      </c>
      <c r="L27" s="69">
        <f t="shared" si="0"/>
        <v>1</v>
      </c>
    </row>
    <row r="28" spans="1:16" x14ac:dyDescent="0.15">
      <c r="A28" s="42">
        <v>16</v>
      </c>
      <c r="B28" s="43">
        <v>42537</v>
      </c>
      <c r="C28" s="44" t="s">
        <v>59</v>
      </c>
      <c r="D28" s="42" t="s">
        <v>43</v>
      </c>
      <c r="E28" s="45" t="s">
        <v>47</v>
      </c>
      <c r="F28" s="46" t="s">
        <v>39</v>
      </c>
      <c r="G28" s="47" t="s">
        <v>62</v>
      </c>
      <c r="H28" s="48">
        <v>1</v>
      </c>
      <c r="I28" s="46" t="s">
        <v>39</v>
      </c>
      <c r="J28" s="49">
        <v>0</v>
      </c>
      <c r="K28" s="57">
        <f>IF(OR(Resultat!H28="",H28="",Resultat!J28="",J28=""),"",IF((H28=Resultat!H28)*(J28=Resultat!J28),Resultat!$AA$3+Resultat!$AA$4,IF(((H28-J28)&gt;0)*((Resultat!H28-Resultat!J28)&gt;0),Resultat!$AA$3,IF(((H28-J28)&lt;0)*((Resultat!H28-Resultat!J28)&lt;0),Resultat!$AA$3,IF(((H28-J28)=0)*((Resultat!H28-Resultat!J28)=0),Resultat!$AA$3,0)))))</f>
        <v>3</v>
      </c>
      <c r="L28" s="69">
        <f t="shared" si="0"/>
        <v>1</v>
      </c>
    </row>
    <row r="29" spans="1:16" x14ac:dyDescent="0.15">
      <c r="A29" s="42">
        <v>17</v>
      </c>
      <c r="B29" s="43">
        <v>42537</v>
      </c>
      <c r="C29" s="44" t="s">
        <v>41</v>
      </c>
      <c r="D29" s="42" t="s">
        <v>45</v>
      </c>
      <c r="E29" s="45" t="s">
        <v>67</v>
      </c>
      <c r="F29" s="46" t="s">
        <v>39</v>
      </c>
      <c r="G29" s="47" t="s">
        <v>66</v>
      </c>
      <c r="H29" s="48">
        <v>1</v>
      </c>
      <c r="I29" s="46" t="s">
        <v>39</v>
      </c>
      <c r="J29" s="49">
        <v>0</v>
      </c>
      <c r="K29" s="57">
        <f>IF(OR(Resultat!H29="",H29="",Resultat!J29="",J29=""),"",IF((H29=Resultat!H29)*(J29=Resultat!J29),Resultat!$AA$3+Resultat!$AA$4,IF(((H29-J29)&gt;0)*((Resultat!H29-Resultat!J29)&gt;0),Resultat!$AA$3,IF(((H29-J29)&lt;0)*((Resultat!H29-Resultat!J29)&lt;0),Resultat!$AA$3,IF(((H29-J29)=0)*((Resultat!H29-Resultat!J29)=0),Resultat!$AA$3,0)))))</f>
        <v>0</v>
      </c>
      <c r="L29" s="69">
        <f t="shared" si="0"/>
        <v>1</v>
      </c>
    </row>
    <row r="30" spans="1:16" x14ac:dyDescent="0.15">
      <c r="A30" s="42">
        <v>18</v>
      </c>
      <c r="B30" s="43">
        <v>42537</v>
      </c>
      <c r="C30" s="44" t="s">
        <v>42</v>
      </c>
      <c r="D30" s="42" t="s">
        <v>45</v>
      </c>
      <c r="E30" s="45" t="s">
        <v>53</v>
      </c>
      <c r="F30" s="46" t="s">
        <v>39</v>
      </c>
      <c r="G30" s="47" t="s">
        <v>65</v>
      </c>
      <c r="H30" s="48">
        <v>1</v>
      </c>
      <c r="I30" s="46" t="s">
        <v>39</v>
      </c>
      <c r="J30" s="49">
        <v>0</v>
      </c>
      <c r="K30" s="57">
        <f>IF(OR(Resultat!H30="",H30="",Resultat!J30="",J30=""),"",IF((H30=Resultat!H30)*(J30=Resultat!J30),Resultat!$AA$3+Resultat!$AA$4,IF(((H30-J30)&gt;0)*((Resultat!H30-Resultat!J30)&gt;0),Resultat!$AA$3,IF(((H30-J30)&lt;0)*((Resultat!H30-Resultat!J30)&lt;0),Resultat!$AA$3,IF(((H30-J30)=0)*((Resultat!H30-Resultat!J30)=0),Resultat!$AA$3,0)))))</f>
        <v>0</v>
      </c>
      <c r="L30" s="69">
        <f t="shared" si="0"/>
        <v>1</v>
      </c>
    </row>
    <row r="31" spans="1:16" x14ac:dyDescent="0.15">
      <c r="A31" s="42">
        <v>19</v>
      </c>
      <c r="B31" s="43">
        <v>42538</v>
      </c>
      <c r="C31" s="44" t="s">
        <v>59</v>
      </c>
      <c r="D31" s="42" t="s">
        <v>49</v>
      </c>
      <c r="E31" s="45" t="s">
        <v>48</v>
      </c>
      <c r="F31" s="46" t="s">
        <v>39</v>
      </c>
      <c r="G31" s="47" t="s">
        <v>70</v>
      </c>
      <c r="H31" s="48">
        <v>1</v>
      </c>
      <c r="I31" s="46" t="s">
        <v>39</v>
      </c>
      <c r="J31" s="49">
        <v>0</v>
      </c>
      <c r="K31" s="57">
        <f>IF(OR(Resultat!H31="",H31="",Resultat!J31="",J31=""),"",IF((H31=Resultat!H31)*(J31=Resultat!J31),Resultat!$AA$3+Resultat!$AA$4,IF(((H31-J31)&gt;0)*((Resultat!H31-Resultat!J31)&gt;0),Resultat!$AA$3,IF(((H31-J31)&lt;0)*((Resultat!H31-Resultat!J31)&lt;0),Resultat!$AA$3,IF(((H31-J31)=0)*((Resultat!H31-Resultat!J31)=0),Resultat!$AA$3,0)))))</f>
        <v>0</v>
      </c>
      <c r="L31" s="69">
        <f t="shared" si="0"/>
        <v>1</v>
      </c>
    </row>
    <row r="32" spans="1:16" x14ac:dyDescent="0.15">
      <c r="A32" s="42">
        <v>20</v>
      </c>
      <c r="B32" s="43">
        <v>42538</v>
      </c>
      <c r="C32" s="50" t="s">
        <v>41</v>
      </c>
      <c r="D32" s="42" t="s">
        <v>46</v>
      </c>
      <c r="E32" s="45" t="s">
        <v>68</v>
      </c>
      <c r="F32" s="46" t="s">
        <v>39</v>
      </c>
      <c r="G32" s="47" t="s">
        <v>40</v>
      </c>
      <c r="H32" s="48">
        <v>1</v>
      </c>
      <c r="I32" s="46" t="s">
        <v>39</v>
      </c>
      <c r="J32" s="49">
        <v>1</v>
      </c>
      <c r="K32" s="57">
        <f>IF(OR(Resultat!H32="",H32="",Resultat!J32="",J32=""),"",IF((H32=Resultat!H32)*(J32=Resultat!J32),Resultat!$AA$3+Resultat!$AA$4,IF(((H32-J32)&gt;0)*((Resultat!H32-Resultat!J32)&gt;0),Resultat!$AA$3,IF(((H32-J32)&lt;0)*((Resultat!H32-Resultat!J32)&lt;0),Resultat!$AA$3,IF(((H32-J32)=0)*((Resultat!H32-Resultat!J32)=0),Resultat!$AA$3,0)))))</f>
        <v>2</v>
      </c>
      <c r="L32" s="69" t="str">
        <f t="shared" si="0"/>
        <v>x</v>
      </c>
    </row>
    <row r="33" spans="1:12" x14ac:dyDescent="0.15">
      <c r="A33" s="42">
        <v>21</v>
      </c>
      <c r="B33" s="43">
        <v>42538</v>
      </c>
      <c r="C33" s="44" t="s">
        <v>42</v>
      </c>
      <c r="D33" s="42" t="s">
        <v>46</v>
      </c>
      <c r="E33" s="45" t="s">
        <v>44</v>
      </c>
      <c r="F33" s="46" t="s">
        <v>39</v>
      </c>
      <c r="G33" s="47" t="s">
        <v>64</v>
      </c>
      <c r="H33" s="48">
        <v>1</v>
      </c>
      <c r="I33" s="46" t="s">
        <v>39</v>
      </c>
      <c r="J33" s="49">
        <v>0</v>
      </c>
      <c r="K33" s="57">
        <f>IF(OR(Resultat!H33="",H33="",Resultat!J33="",J33=""),"",IF((H33=Resultat!H33)*(J33=Resultat!J33),Resultat!$AA$3+Resultat!$AA$4,IF(((H33-J33)&gt;0)*((Resultat!H33-Resultat!J33)&gt;0),Resultat!$AA$3,IF(((H33-J33)&lt;0)*((Resultat!H33-Resultat!J33)&lt;0),Resultat!$AA$3,IF(((H33-J33)=0)*((Resultat!H33-Resultat!J33)=0),Resultat!$AA$3,0)))))</f>
        <v>0</v>
      </c>
      <c r="L33" s="69">
        <f t="shared" si="0"/>
        <v>1</v>
      </c>
    </row>
    <row r="34" spans="1:12" x14ac:dyDescent="0.15">
      <c r="A34" s="42">
        <v>22</v>
      </c>
      <c r="B34" s="43">
        <v>42539</v>
      </c>
      <c r="C34" s="44" t="s">
        <v>59</v>
      </c>
      <c r="D34" s="42" t="s">
        <v>49</v>
      </c>
      <c r="E34" s="45" t="s">
        <v>55</v>
      </c>
      <c r="F34" s="46" t="s">
        <v>39</v>
      </c>
      <c r="G34" s="47" t="s">
        <v>69</v>
      </c>
      <c r="H34" s="48">
        <v>1</v>
      </c>
      <c r="I34" s="46" t="s">
        <v>39</v>
      </c>
      <c r="J34" s="49">
        <v>0</v>
      </c>
      <c r="K34" s="57">
        <f>IF(OR(Resultat!H34="",H34="",Resultat!J34="",J34=""),"",IF((H34=Resultat!H34)*(J34=Resultat!J34),Resultat!$AA$3+Resultat!$AA$4,IF(((H34-J34)&gt;0)*((Resultat!H34-Resultat!J34)&gt;0),Resultat!$AA$3,IF(((H34-J34)&lt;0)*((Resultat!H34-Resultat!J34)&lt;0),Resultat!$AA$3,IF(((H34-J34)=0)*((Resultat!H34-Resultat!J34)=0),Resultat!$AA$3,0)))))</f>
        <v>0</v>
      </c>
      <c r="L34" s="69">
        <f t="shared" si="0"/>
        <v>1</v>
      </c>
    </row>
    <row r="35" spans="1:12" x14ac:dyDescent="0.15">
      <c r="A35" s="42">
        <v>23</v>
      </c>
      <c r="B35" s="43">
        <v>42539</v>
      </c>
      <c r="C35" s="44" t="s">
        <v>41</v>
      </c>
      <c r="D35" s="42" t="s">
        <v>52</v>
      </c>
      <c r="E35" s="45" t="s">
        <v>73</v>
      </c>
      <c r="F35" s="46" t="s">
        <v>39</v>
      </c>
      <c r="G35" s="47" t="s">
        <v>72</v>
      </c>
      <c r="H35" s="48">
        <v>1</v>
      </c>
      <c r="I35" s="46" t="s">
        <v>39</v>
      </c>
      <c r="J35" s="49">
        <v>0</v>
      </c>
      <c r="K35" s="57">
        <f>IF(OR(Resultat!H35="",H35="",Resultat!J35="",J35=""),"",IF((H35=Resultat!H35)*(J35=Resultat!J35),Resultat!$AA$3+Resultat!$AA$4,IF(((H35-J35)&gt;0)*((Resultat!H35-Resultat!J35)&gt;0),Resultat!$AA$3,IF(((H35-J35)&lt;0)*((Resultat!H35-Resultat!J35)&lt;0),Resultat!$AA$3,IF(((H35-J35)=0)*((Resultat!H35-Resultat!J35)=0),Resultat!$AA$3,0)))))</f>
        <v>0</v>
      </c>
      <c r="L35" s="69">
        <f t="shared" si="0"/>
        <v>1</v>
      </c>
    </row>
    <row r="36" spans="1:12" x14ac:dyDescent="0.15">
      <c r="A36" s="42">
        <v>24</v>
      </c>
      <c r="B36" s="43">
        <v>42539</v>
      </c>
      <c r="C36" s="44" t="s">
        <v>42</v>
      </c>
      <c r="D36" s="42" t="s">
        <v>52</v>
      </c>
      <c r="E36" s="45" t="s">
        <v>54</v>
      </c>
      <c r="F36" s="46" t="s">
        <v>39</v>
      </c>
      <c r="G36" s="47" t="s">
        <v>71</v>
      </c>
      <c r="H36" s="48">
        <v>1</v>
      </c>
      <c r="I36" s="46" t="s">
        <v>39</v>
      </c>
      <c r="J36" s="49">
        <v>0</v>
      </c>
      <c r="K36" s="57">
        <f>IF(OR(Resultat!H36="",H36="",Resultat!J36="",J36=""),"",IF((H36=Resultat!H36)*(J36=Resultat!J36),Resultat!$AA$3+Resultat!$AA$4,IF(((H36-J36)&gt;0)*((Resultat!H36-Resultat!J36)&gt;0),Resultat!$AA$3,IF(((H36-J36)&lt;0)*((Resultat!H36-Resultat!J36)&lt;0),Resultat!$AA$3,IF(((H36-J36)=0)*((Resultat!H36-Resultat!J36)=0),Resultat!$AA$3,0)))))</f>
        <v>0</v>
      </c>
      <c r="L36" s="69">
        <f t="shared" si="0"/>
        <v>1</v>
      </c>
    </row>
    <row r="37" spans="1:12" x14ac:dyDescent="0.15">
      <c r="A37" s="42">
        <v>25</v>
      </c>
      <c r="B37" s="43">
        <v>42540</v>
      </c>
      <c r="C37" s="44" t="s">
        <v>42</v>
      </c>
      <c r="D37" s="42" t="s">
        <v>38</v>
      </c>
      <c r="E37" s="45" t="s">
        <v>50</v>
      </c>
      <c r="F37" s="46" t="s">
        <v>39</v>
      </c>
      <c r="G37" s="47" t="s">
        <v>51</v>
      </c>
      <c r="H37" s="48">
        <v>1</v>
      </c>
      <c r="I37" s="46" t="s">
        <v>39</v>
      </c>
      <c r="J37" s="49">
        <v>1</v>
      </c>
      <c r="K37" s="57">
        <f>IF(OR(Resultat!H37="",H37="",Resultat!J37="",J37=""),"",IF((H37=Resultat!H37)*(J37=Resultat!J37),Resultat!$AA$3+Resultat!$AA$4,IF(((H37-J37)&gt;0)*((Resultat!H37-Resultat!J37)&gt;0),Resultat!$AA$3,IF(((H37-J37)&lt;0)*((Resultat!H37-Resultat!J37)&lt;0),Resultat!$AA$3,IF(((H37-J37)=0)*((Resultat!H37-Resultat!J37)=0),Resultat!$AA$3,0)))))</f>
        <v>0</v>
      </c>
      <c r="L37" s="69" t="str">
        <f t="shared" si="0"/>
        <v>x</v>
      </c>
    </row>
    <row r="38" spans="1:12" x14ac:dyDescent="0.15">
      <c r="A38" s="42">
        <v>26</v>
      </c>
      <c r="B38" s="43">
        <v>42540</v>
      </c>
      <c r="C38" s="44" t="s">
        <v>42</v>
      </c>
      <c r="D38" s="42" t="s">
        <v>38</v>
      </c>
      <c r="E38" s="45" t="s">
        <v>60</v>
      </c>
      <c r="F38" s="46" t="s">
        <v>39</v>
      </c>
      <c r="G38" s="47" t="s">
        <v>61</v>
      </c>
      <c r="H38" s="48">
        <v>1</v>
      </c>
      <c r="I38" s="46" t="s">
        <v>39</v>
      </c>
      <c r="J38" s="49">
        <v>1</v>
      </c>
      <c r="K38" s="57">
        <f>IF(OR(Resultat!H38="",H38="",Resultat!J38="",J38=""),"",IF((H38=Resultat!H38)*(J38=Resultat!J38),Resultat!$AA$3+Resultat!$AA$4,IF(((H38-J38)&gt;0)*((Resultat!H38-Resultat!J38)&gt;0),Resultat!$AA$3,IF(((H38-J38)&lt;0)*((Resultat!H38-Resultat!J38)&lt;0),Resultat!$AA$3,IF(((H38-J38)=0)*((Resultat!H38-Resultat!J38)=0),Resultat!$AA$3,0)))))</f>
        <v>0</v>
      </c>
      <c r="L38" s="69" t="str">
        <f t="shared" si="0"/>
        <v>x</v>
      </c>
    </row>
    <row r="39" spans="1:12" x14ac:dyDescent="0.15">
      <c r="A39" s="42">
        <v>27</v>
      </c>
      <c r="B39" s="43">
        <v>42541</v>
      </c>
      <c r="C39" s="44" t="s">
        <v>42</v>
      </c>
      <c r="D39" s="42" t="s">
        <v>43</v>
      </c>
      <c r="E39" s="45" t="s">
        <v>63</v>
      </c>
      <c r="F39" s="46" t="s">
        <v>39</v>
      </c>
      <c r="G39" s="47" t="s">
        <v>47</v>
      </c>
      <c r="H39" s="48">
        <v>1</v>
      </c>
      <c r="I39" s="46" t="s">
        <v>39</v>
      </c>
      <c r="J39" s="49">
        <v>1</v>
      </c>
      <c r="K39" s="57">
        <f>IF(OR(Resultat!H39="",H39="",Resultat!J39="",J39=""),"",IF((H39=Resultat!H39)*(J39=Resultat!J39),Resultat!$AA$3+Resultat!$AA$4,IF(((H39-J39)&gt;0)*((Resultat!H39-Resultat!J39)&gt;0),Resultat!$AA$3,IF(((H39-J39)&lt;0)*((Resultat!H39-Resultat!J39)&lt;0),Resultat!$AA$3,IF(((H39-J39)=0)*((Resultat!H39-Resultat!J39)=0),Resultat!$AA$3,0)))))</f>
        <v>0</v>
      </c>
      <c r="L39" s="69" t="str">
        <f t="shared" si="0"/>
        <v>x</v>
      </c>
    </row>
    <row r="40" spans="1:12" x14ac:dyDescent="0.15">
      <c r="A40" s="42">
        <v>28</v>
      </c>
      <c r="B40" s="43">
        <v>42541</v>
      </c>
      <c r="C40" s="44" t="s">
        <v>42</v>
      </c>
      <c r="D40" s="42" t="s">
        <v>43</v>
      </c>
      <c r="E40" s="45" t="s">
        <v>56</v>
      </c>
      <c r="F40" s="46" t="s">
        <v>39</v>
      </c>
      <c r="G40" s="47" t="s">
        <v>62</v>
      </c>
      <c r="H40" s="48">
        <v>1</v>
      </c>
      <c r="I40" s="46" t="s">
        <v>39</v>
      </c>
      <c r="J40" s="49">
        <v>0</v>
      </c>
      <c r="K40" s="57">
        <f>IF(OR(Resultat!H40="",H40="",Resultat!J40="",J40=""),"",IF((H40=Resultat!H40)*(J40=Resultat!J40),Resultat!$AA$3+Resultat!$AA$4,IF(((H40-J40)&gt;0)*((Resultat!H40-Resultat!J40)&gt;0),Resultat!$AA$3,IF(((H40-J40)&lt;0)*((Resultat!H40-Resultat!J40)&lt;0),Resultat!$AA$3,IF(((H40-J40)=0)*((Resultat!H40-Resultat!J40)=0),Resultat!$AA$3,0)))))</f>
        <v>0</v>
      </c>
      <c r="L40" s="69">
        <f t="shared" si="0"/>
        <v>1</v>
      </c>
    </row>
    <row r="41" spans="1:12" x14ac:dyDescent="0.15">
      <c r="A41" s="42">
        <v>29</v>
      </c>
      <c r="B41" s="43">
        <v>42542</v>
      </c>
      <c r="C41" s="44" t="s">
        <v>41</v>
      </c>
      <c r="D41" s="42" t="s">
        <v>45</v>
      </c>
      <c r="E41" s="45" t="s">
        <v>66</v>
      </c>
      <c r="F41" s="46" t="s">
        <v>39</v>
      </c>
      <c r="G41" s="47" t="s">
        <v>53</v>
      </c>
      <c r="H41" s="48">
        <v>1</v>
      </c>
      <c r="I41" s="46" t="s">
        <v>39</v>
      </c>
      <c r="J41" s="49">
        <v>0</v>
      </c>
      <c r="K41" s="57">
        <f>IF(OR(Resultat!H41="",H41="",Resultat!J41="",J41=""),"",IF((H41=Resultat!H41)*(J41=Resultat!J41),Resultat!$AA$3+Resultat!$AA$4,IF(((H41-J41)&gt;0)*((Resultat!H41-Resultat!J41)&gt;0),Resultat!$AA$3,IF(((H41-J41)&lt;0)*((Resultat!H41-Resultat!J41)&lt;0),Resultat!$AA$3,IF(((H41-J41)=0)*((Resultat!H41-Resultat!J41)=0),Resultat!$AA$3,0)))))</f>
        <v>3</v>
      </c>
      <c r="L41" s="69">
        <f t="shared" si="0"/>
        <v>1</v>
      </c>
    </row>
    <row r="42" spans="1:12" x14ac:dyDescent="0.15">
      <c r="A42" s="42">
        <v>30</v>
      </c>
      <c r="B42" s="43">
        <v>42542</v>
      </c>
      <c r="C42" s="44" t="s">
        <v>41</v>
      </c>
      <c r="D42" s="42" t="s">
        <v>45</v>
      </c>
      <c r="E42" s="45" t="s">
        <v>67</v>
      </c>
      <c r="F42" s="46" t="s">
        <v>39</v>
      </c>
      <c r="G42" s="47" t="s">
        <v>65</v>
      </c>
      <c r="H42" s="48">
        <v>1</v>
      </c>
      <c r="I42" s="46" t="s">
        <v>39</v>
      </c>
      <c r="J42" s="49">
        <v>0</v>
      </c>
      <c r="K42" s="57">
        <f>IF(OR(Resultat!H42="",H42="",Resultat!J42="",J42=""),"",IF((H42=Resultat!H42)*(J42=Resultat!J42),Resultat!$AA$3+Resultat!$AA$4,IF(((H42-J42)&gt;0)*((Resultat!H42-Resultat!J42)&gt;0),Resultat!$AA$3,IF(((H42-J42)&lt;0)*((Resultat!H42-Resultat!J42)&lt;0),Resultat!$AA$3,IF(((H42-J42)=0)*((Resultat!H42-Resultat!J42)=0),Resultat!$AA$3,0)))))</f>
        <v>0</v>
      </c>
      <c r="L42" s="69">
        <f t="shared" si="0"/>
        <v>1</v>
      </c>
    </row>
    <row r="43" spans="1:12" x14ac:dyDescent="0.15">
      <c r="A43" s="42">
        <v>31</v>
      </c>
      <c r="B43" s="43">
        <v>42542</v>
      </c>
      <c r="C43" s="44" t="s">
        <v>42</v>
      </c>
      <c r="D43" s="42" t="s">
        <v>46</v>
      </c>
      <c r="E43" s="45" t="s">
        <v>40</v>
      </c>
      <c r="F43" s="46" t="s">
        <v>39</v>
      </c>
      <c r="G43" s="47" t="s">
        <v>44</v>
      </c>
      <c r="H43" s="48">
        <v>1</v>
      </c>
      <c r="I43" s="46" t="s">
        <v>39</v>
      </c>
      <c r="J43" s="49">
        <v>0</v>
      </c>
      <c r="K43" s="57">
        <f>IF(OR(Resultat!H43="",H43="",Resultat!J43="",J43=""),"",IF((H43=Resultat!H43)*(J43=Resultat!J43),Resultat!$AA$3+Resultat!$AA$4,IF(((H43-J43)&gt;0)*((Resultat!H43-Resultat!J43)&gt;0),Resultat!$AA$3,IF(((H43-J43)&lt;0)*((Resultat!H43-Resultat!J43)&lt;0),Resultat!$AA$3,IF(((H43-J43)=0)*((Resultat!H43-Resultat!J43)=0),Resultat!$AA$3,0)))))</f>
        <v>0</v>
      </c>
      <c r="L43" s="69">
        <f t="shared" si="0"/>
        <v>1</v>
      </c>
    </row>
    <row r="44" spans="1:12" x14ac:dyDescent="0.15">
      <c r="A44" s="42">
        <v>32</v>
      </c>
      <c r="B44" s="43">
        <v>42542</v>
      </c>
      <c r="C44" s="44" t="s">
        <v>42</v>
      </c>
      <c r="D44" s="42" t="s">
        <v>46</v>
      </c>
      <c r="E44" s="45" t="s">
        <v>68</v>
      </c>
      <c r="F44" s="46" t="s">
        <v>39</v>
      </c>
      <c r="G44" s="47" t="s">
        <v>64</v>
      </c>
      <c r="H44" s="48">
        <v>1</v>
      </c>
      <c r="I44" s="46" t="s">
        <v>39</v>
      </c>
      <c r="J44" s="49">
        <v>0</v>
      </c>
      <c r="K44" s="57" t="str">
        <f>IF(OR(Resultat!H44="",H44="",Resultat!J44="",J44=""),"",IF((H44=Resultat!H44)*(J44=Resultat!J44),Resultat!$AA$3+Resultat!$AA$4,IF(((H44-J44)&gt;0)*((Resultat!H44-Resultat!J44)&gt;0),Resultat!$AA$3,IF(((H44-J44)&lt;0)*((Resultat!H44-Resultat!J44)&lt;0),Resultat!$AA$3,IF(((H44-J44)=0)*((Resultat!H44-Resultat!J44)=0),Resultat!$AA$3,0)))))</f>
        <v/>
      </c>
      <c r="L44" s="69">
        <f t="shared" si="0"/>
        <v>1</v>
      </c>
    </row>
    <row r="45" spans="1:12" x14ac:dyDescent="0.15">
      <c r="A45" s="42">
        <v>33</v>
      </c>
      <c r="B45" s="43">
        <v>42543</v>
      </c>
      <c r="C45" s="44" t="s">
        <v>41</v>
      </c>
      <c r="D45" s="42" t="s">
        <v>52</v>
      </c>
      <c r="E45" s="45" t="s">
        <v>72</v>
      </c>
      <c r="F45" s="46" t="s">
        <v>39</v>
      </c>
      <c r="G45" s="47" t="s">
        <v>54</v>
      </c>
      <c r="H45" s="48">
        <v>1</v>
      </c>
      <c r="I45" s="46" t="s">
        <v>39</v>
      </c>
      <c r="J45" s="49">
        <v>0</v>
      </c>
      <c r="K45" s="57" t="str">
        <f>IF(OR(Resultat!H45="",H45="",Resultat!J45="",J45=""),"",IF((H45=Resultat!H45)*(J45=Resultat!J45),Resultat!$AA$3+Resultat!$AA$4,IF(((H45-J45)&gt;0)*((Resultat!H45-Resultat!J45)&gt;0),Resultat!$AA$3,IF(((H45-J45)&lt;0)*((Resultat!H45-Resultat!J45)&lt;0),Resultat!$AA$3,IF(((H45-J45)=0)*((Resultat!H45-Resultat!J45)=0),Resultat!$AA$3,0)))))</f>
        <v/>
      </c>
      <c r="L45" s="69">
        <f t="shared" si="0"/>
        <v>1</v>
      </c>
    </row>
    <row r="46" spans="1:12" x14ac:dyDescent="0.15">
      <c r="A46" s="42">
        <v>34</v>
      </c>
      <c r="B46" s="43">
        <v>42543</v>
      </c>
      <c r="C46" s="44" t="s">
        <v>41</v>
      </c>
      <c r="D46" s="42" t="s">
        <v>52</v>
      </c>
      <c r="E46" s="45" t="s">
        <v>73</v>
      </c>
      <c r="F46" s="46" t="s">
        <v>39</v>
      </c>
      <c r="G46" s="47" t="s">
        <v>71</v>
      </c>
      <c r="H46" s="48">
        <v>1</v>
      </c>
      <c r="I46" s="46" t="s">
        <v>39</v>
      </c>
      <c r="J46" s="49">
        <v>0</v>
      </c>
      <c r="K46" s="57" t="str">
        <f>IF(OR(Resultat!H46="",H46="",Resultat!J46="",J46=""),"",IF((H46=Resultat!H46)*(J46=Resultat!J46),Resultat!$AA$3+Resultat!$AA$4,IF(((H46-J46)&gt;0)*((Resultat!H46-Resultat!J46)&gt;0),Resultat!$AA$3,IF(((H46-J46)&lt;0)*((Resultat!H46-Resultat!J46)&lt;0),Resultat!$AA$3,IF(((H46-J46)=0)*((Resultat!H46-Resultat!J46)=0),Resultat!$AA$3,0)))))</f>
        <v/>
      </c>
      <c r="L46" s="69">
        <f t="shared" si="0"/>
        <v>1</v>
      </c>
    </row>
    <row r="47" spans="1:12" x14ac:dyDescent="0.15">
      <c r="A47" s="42">
        <v>35</v>
      </c>
      <c r="B47" s="43">
        <v>42543</v>
      </c>
      <c r="C47" s="44" t="s">
        <v>42</v>
      </c>
      <c r="D47" s="42" t="s">
        <v>49</v>
      </c>
      <c r="E47" s="45" t="s">
        <v>70</v>
      </c>
      <c r="F47" s="46" t="s">
        <v>39</v>
      </c>
      <c r="G47" s="47" t="s">
        <v>55</v>
      </c>
      <c r="H47" s="48">
        <v>1</v>
      </c>
      <c r="I47" s="46" t="s">
        <v>39</v>
      </c>
      <c r="J47" s="49">
        <v>0</v>
      </c>
      <c r="K47" s="57" t="str">
        <f>IF(OR(Resultat!H47="",H47="",Resultat!J47="",J47=""),"",IF((H47=Resultat!H47)*(J47=Resultat!J47),Resultat!$AA$3+Resultat!$AA$4,IF(((H47-J47)&gt;0)*((Resultat!H47-Resultat!J47)&gt;0),Resultat!$AA$3,IF(((H47-J47)&lt;0)*((Resultat!H47-Resultat!J47)&lt;0),Resultat!$AA$3,IF(((H47-J47)=0)*((Resultat!H47-Resultat!J47)=0),Resultat!$AA$3,0)))))</f>
        <v/>
      </c>
      <c r="L47" s="69">
        <f t="shared" si="0"/>
        <v>1</v>
      </c>
    </row>
    <row r="48" spans="1:12" ht="14" thickBot="1" x14ac:dyDescent="0.2">
      <c r="A48" s="77">
        <v>36</v>
      </c>
      <c r="B48" s="78">
        <v>42543</v>
      </c>
      <c r="C48" s="79" t="s">
        <v>42</v>
      </c>
      <c r="D48" s="77" t="s">
        <v>49</v>
      </c>
      <c r="E48" s="80" t="s">
        <v>48</v>
      </c>
      <c r="F48" s="81" t="s">
        <v>39</v>
      </c>
      <c r="G48" s="82" t="s">
        <v>69</v>
      </c>
      <c r="H48" s="83">
        <v>1</v>
      </c>
      <c r="I48" s="81" t="s">
        <v>39</v>
      </c>
      <c r="J48" s="84">
        <v>0</v>
      </c>
      <c r="K48" s="85" t="str">
        <f>IF(OR(Resultat!H48="",H48="",Resultat!J48="",J48=""),"",IF((H48=Resultat!H48)*(J48=Resultat!J48),Resultat!$AA$3+Resultat!$AA$4,IF(((H48-J48)&gt;0)*((Resultat!H48-Resultat!J48)&gt;0),Resultat!$AA$3,IF(((H48-J48)&lt;0)*((Resultat!H48-Resultat!J48)&lt;0),Resultat!$AA$3,IF(((H48-J48)=0)*((Resultat!H48-Resultat!J48)=0),Resultat!$AA$3,0)))))</f>
        <v/>
      </c>
      <c r="L48" s="69">
        <f t="shared" si="0"/>
        <v>1</v>
      </c>
    </row>
    <row r="49" spans="1:12" x14ac:dyDescent="0.15">
      <c r="A49" s="42">
        <v>37</v>
      </c>
      <c r="B49" s="43">
        <v>42546</v>
      </c>
      <c r="C49" s="44" t="s">
        <v>41</v>
      </c>
      <c r="D49" s="70">
        <v>0.125</v>
      </c>
      <c r="E49" s="45"/>
      <c r="F49" s="46" t="s">
        <v>39</v>
      </c>
      <c r="G49" s="47"/>
      <c r="H49" s="48"/>
      <c r="I49" s="46" t="s">
        <v>39</v>
      </c>
      <c r="J49" s="49"/>
      <c r="K49" s="57" t="str">
        <f>IF(OR(Resultat!H49="",H49="",Resultat!J49="",J49=""),"",IF((H49=Resultat!H49)*(J49=Resultat!J49),Resultat!$M$4+Resultat!$AA$4,IF(((H49-J49)&gt;0)*((Resultat!H49-Resultat!J49)&gt;0),Resultat!$M$4,IF(((H49-J49)&lt;0)*((Resultat!H49-Resultat!J49)&lt;0),Resultat!$M$4,IF(((H49-J49)=0)*((Resultat!H49-Resultat!J49)=0),Resultat!$M$4,0)))))</f>
        <v/>
      </c>
      <c r="L49" s="69" t="str">
        <f t="shared" si="0"/>
        <v>x</v>
      </c>
    </row>
    <row r="50" spans="1:12" x14ac:dyDescent="0.15">
      <c r="A50" s="42">
        <v>38</v>
      </c>
      <c r="B50" s="43">
        <v>42546</v>
      </c>
      <c r="C50" s="44" t="s">
        <v>37</v>
      </c>
      <c r="D50" s="70">
        <v>0.125</v>
      </c>
      <c r="E50" s="45"/>
      <c r="F50" s="46" t="s">
        <v>39</v>
      </c>
      <c r="G50" s="47"/>
      <c r="H50" s="48"/>
      <c r="I50" s="46" t="s">
        <v>39</v>
      </c>
      <c r="J50" s="49"/>
      <c r="K50" s="57" t="str">
        <f>IF(OR(Resultat!H50="",H50="",Resultat!J50="",J50=""),"",IF((H50=Resultat!H50)*(J50=Resultat!J50),Resultat!$M$4+Resultat!$AA$4,IF(((H50-J50)&gt;0)*((Resultat!H50-Resultat!J50)&gt;0),Resultat!$M$4,IF(((H50-J50)&lt;0)*((Resultat!H50-Resultat!J50)&lt;0),Resultat!$M$4,IF(((H50-J50)=0)*((Resultat!H50-Resultat!J50)=0),Resultat!$M$4,0)))))</f>
        <v/>
      </c>
      <c r="L50" s="69" t="str">
        <f t="shared" si="0"/>
        <v>x</v>
      </c>
    </row>
    <row r="51" spans="1:12" x14ac:dyDescent="0.15">
      <c r="A51" s="42">
        <v>39</v>
      </c>
      <c r="B51" s="43">
        <v>42546</v>
      </c>
      <c r="C51" s="44" t="s">
        <v>41</v>
      </c>
      <c r="D51" s="70">
        <v>0.125</v>
      </c>
      <c r="E51" s="45"/>
      <c r="F51" s="46" t="s">
        <v>39</v>
      </c>
      <c r="G51" s="47"/>
      <c r="H51" s="48"/>
      <c r="I51" s="46" t="s">
        <v>39</v>
      </c>
      <c r="J51" s="49"/>
      <c r="K51" s="57" t="str">
        <f>IF(OR(Resultat!H51="",H51="",Resultat!J51="",J51=""),"",IF((H51=Resultat!H51)*(J51=Resultat!J51),Resultat!$M$4+Resultat!$AA$4,IF(((H51-J51)&gt;0)*((Resultat!H51-Resultat!J51)&gt;0),Resultat!$M$4,IF(((H51-J51)&lt;0)*((Resultat!H51-Resultat!J51)&lt;0),Resultat!$M$4,IF(((H51-J51)=0)*((Resultat!H51-Resultat!J51)=0),Resultat!$M$4,0)))))</f>
        <v/>
      </c>
      <c r="L51" s="69" t="str">
        <f t="shared" si="0"/>
        <v>x</v>
      </c>
    </row>
    <row r="52" spans="1:12" x14ac:dyDescent="0.15">
      <c r="A52" s="42">
        <v>40</v>
      </c>
      <c r="B52" s="43">
        <v>42547</v>
      </c>
      <c r="C52" s="44" t="s">
        <v>37</v>
      </c>
      <c r="D52" s="70">
        <v>0.125</v>
      </c>
      <c r="E52" s="45"/>
      <c r="F52" s="46" t="s">
        <v>39</v>
      </c>
      <c r="G52" s="47"/>
      <c r="H52" s="48"/>
      <c r="I52" s="46" t="s">
        <v>39</v>
      </c>
      <c r="J52" s="49"/>
      <c r="K52" s="57" t="str">
        <f>IF(OR(Resultat!H52="",H52="",Resultat!J52="",J52=""),"",IF((H52=Resultat!H52)*(J52=Resultat!J52),Resultat!$M$4+Resultat!$AA$4,IF(((H52-J52)&gt;0)*((Resultat!H52-Resultat!J52)&gt;0),Resultat!$M$4,IF(((H52-J52)&lt;0)*((Resultat!H52-Resultat!J52)&lt;0),Resultat!$M$4,IF(((H52-J52)=0)*((Resultat!H52-Resultat!J52)=0),Resultat!$M$4,0)))))</f>
        <v/>
      </c>
      <c r="L52" s="69" t="str">
        <f t="shared" si="0"/>
        <v>x</v>
      </c>
    </row>
    <row r="53" spans="1:12" x14ac:dyDescent="0.15">
      <c r="A53" s="42">
        <v>41</v>
      </c>
      <c r="B53" s="43">
        <v>42547</v>
      </c>
      <c r="C53" s="44" t="s">
        <v>41</v>
      </c>
      <c r="D53" s="70">
        <v>0.125</v>
      </c>
      <c r="E53" s="45"/>
      <c r="F53" s="46" t="s">
        <v>39</v>
      </c>
      <c r="G53" s="47"/>
      <c r="H53" s="48"/>
      <c r="I53" s="46" t="s">
        <v>39</v>
      </c>
      <c r="J53" s="49"/>
      <c r="K53" s="57" t="str">
        <f>IF(OR(Resultat!H53="",H53="",Resultat!J53="",J53=""),"",IF((H53=Resultat!H53)*(J53=Resultat!J53),Resultat!$M$4+Resultat!$AA$4,IF(((H53-J53)&gt;0)*((Resultat!H53-Resultat!J53)&gt;0),Resultat!$M$4,IF(((H53-J53)&lt;0)*((Resultat!H53-Resultat!J53)&lt;0),Resultat!$M$4,IF(((H53-J53)=0)*((Resultat!H53-Resultat!J53)=0),Resultat!$M$4,0)))))</f>
        <v/>
      </c>
      <c r="L53" s="69" t="str">
        <f t="shared" si="0"/>
        <v>x</v>
      </c>
    </row>
    <row r="54" spans="1:12" x14ac:dyDescent="0.15">
      <c r="A54" s="42">
        <v>42</v>
      </c>
      <c r="B54" s="43">
        <v>42547</v>
      </c>
      <c r="C54" s="44" t="s">
        <v>37</v>
      </c>
      <c r="D54" s="70">
        <v>0.125</v>
      </c>
      <c r="E54" s="45"/>
      <c r="F54" s="46" t="s">
        <v>39</v>
      </c>
      <c r="G54" s="47"/>
      <c r="H54" s="48"/>
      <c r="I54" s="46" t="s">
        <v>39</v>
      </c>
      <c r="J54" s="49"/>
      <c r="K54" s="57" t="str">
        <f>IF(OR(Resultat!H54="",H54="",Resultat!J54="",J54=""),"",IF((H54=Resultat!H54)*(J54=Resultat!J54),Resultat!$M$4+Resultat!$AA$4,IF(((H54-J54)&gt;0)*((Resultat!H54-Resultat!J54)&gt;0),Resultat!$M$4,IF(((H54-J54)&lt;0)*((Resultat!H54-Resultat!J54)&lt;0),Resultat!$M$4,IF(((H54-J54)=0)*((Resultat!H54-Resultat!J54)=0),Resultat!$M$4,0)))))</f>
        <v/>
      </c>
      <c r="L54" s="69" t="str">
        <f t="shared" si="0"/>
        <v>x</v>
      </c>
    </row>
    <row r="55" spans="1:12" x14ac:dyDescent="0.15">
      <c r="A55" s="42">
        <v>43</v>
      </c>
      <c r="B55" s="43">
        <v>42548</v>
      </c>
      <c r="C55" s="44" t="s">
        <v>41</v>
      </c>
      <c r="D55" s="70">
        <v>0.125</v>
      </c>
      <c r="E55" s="45"/>
      <c r="F55" s="46" t="s">
        <v>39</v>
      </c>
      <c r="G55" s="47"/>
      <c r="H55" s="48"/>
      <c r="I55" s="46" t="s">
        <v>39</v>
      </c>
      <c r="J55" s="49"/>
      <c r="K55" s="57" t="str">
        <f>IF(OR(Resultat!H55="",H55="",Resultat!J55="",J55=""),"",IF((H55=Resultat!H55)*(J55=Resultat!J55),Resultat!$M$4+Resultat!$AA$4,IF(((H55-J55)&gt;0)*((Resultat!H55-Resultat!J55)&gt;0),Resultat!$M$4,IF(((H55-J55)&lt;0)*((Resultat!H55-Resultat!J55)&lt;0),Resultat!$M$4,IF(((H55-J55)=0)*((Resultat!H55-Resultat!J55)=0),Resultat!$M$4,0)))))</f>
        <v/>
      </c>
      <c r="L55" s="69" t="str">
        <f t="shared" si="0"/>
        <v>x</v>
      </c>
    </row>
    <row r="56" spans="1:12" x14ac:dyDescent="0.15">
      <c r="A56" s="42">
        <v>44</v>
      </c>
      <c r="B56" s="43">
        <v>42548</v>
      </c>
      <c r="C56" s="44" t="s">
        <v>37</v>
      </c>
      <c r="D56" s="70">
        <v>0.125</v>
      </c>
      <c r="E56" s="45"/>
      <c r="F56" s="46" t="s">
        <v>39</v>
      </c>
      <c r="G56" s="47"/>
      <c r="H56" s="48"/>
      <c r="I56" s="46" t="s">
        <v>39</v>
      </c>
      <c r="J56" s="49"/>
      <c r="K56" s="57" t="str">
        <f>IF(OR(Resultat!H56="",H56="",Resultat!J56="",J56=""),"",IF((H56=Resultat!H56)*(J56=Resultat!J56),Resultat!$M$4+Resultat!$AA$4,IF(((H56-J56)&gt;0)*((Resultat!H56-Resultat!J56)&gt;0),Resultat!$M$4,IF(((H56-J56)&lt;0)*((Resultat!H56-Resultat!J56)&lt;0),Resultat!$M$4,IF(((H56-J56)=0)*((Resultat!H56-Resultat!J56)=0),Resultat!$M$4,0)))))</f>
        <v/>
      </c>
      <c r="L56" s="69" t="str">
        <f t="shared" si="0"/>
        <v>x</v>
      </c>
    </row>
    <row r="57" spans="1:12" x14ac:dyDescent="0.15">
      <c r="A57" s="42">
        <v>45</v>
      </c>
      <c r="B57" s="43">
        <v>42551</v>
      </c>
      <c r="C57" s="44" t="s">
        <v>37</v>
      </c>
      <c r="D57" s="70">
        <v>0.25</v>
      </c>
      <c r="E57" s="45" t="str">
        <f>IF(J49="","",IF(H49&gt;J49,E49,G49))</f>
        <v/>
      </c>
      <c r="F57" s="46" t="s">
        <v>39</v>
      </c>
      <c r="G57" s="47" t="str">
        <f>IF(J51="","",IF(H51&gt;J51,E51,G51))</f>
        <v/>
      </c>
      <c r="H57" s="48"/>
      <c r="I57" s="46" t="s">
        <v>39</v>
      </c>
      <c r="J57" s="49"/>
      <c r="K57" s="57" t="str">
        <f>IF(OR(Resultat!H57="",H57="",Resultat!J57="",J57=""),"",IF((H57=Resultat!H57)*(J57=Resultat!J57),Resultat!$M$5+Resultat!$AA$4,IF(((H57-J57)&gt;0)*((Resultat!H57-Resultat!J57)&gt;0),Resultat!$M$5,IF(((H57-J57)&lt;0)*((Resultat!H57-Resultat!J57)&lt;0),Resultat!$M$5,IF(((H57-J57)=0)*((Resultat!H57-Resultat!J57)=0),Resultat!$M$5,0)))))</f>
        <v/>
      </c>
      <c r="L57" s="69" t="str">
        <f t="shared" si="0"/>
        <v>x</v>
      </c>
    </row>
    <row r="58" spans="1:12" x14ac:dyDescent="0.15">
      <c r="A58" s="42">
        <v>46</v>
      </c>
      <c r="B58" s="43">
        <v>42552</v>
      </c>
      <c r="C58" s="44" t="s">
        <v>41</v>
      </c>
      <c r="D58" s="70">
        <v>0.25</v>
      </c>
      <c r="E58" s="45" t="str">
        <f>IF(J50="","",IF(H50&gt;J50,E50,G50))</f>
        <v/>
      </c>
      <c r="F58" s="46" t="s">
        <v>39</v>
      </c>
      <c r="G58" s="47" t="str">
        <f>IF(J54="","",IF(H54&gt;J54,E54,G54))</f>
        <v/>
      </c>
      <c r="H58" s="48"/>
      <c r="I58" s="46" t="s">
        <v>39</v>
      </c>
      <c r="J58" s="49"/>
      <c r="K58" s="57" t="str">
        <f>IF(OR(Resultat!H58="",H58="",Resultat!J58="",J58=""),"",IF((H58=Resultat!H58)*(J58=Resultat!J58),Resultat!$M$5+Resultat!$AA$4,IF(((H58-J58)&gt;0)*((Resultat!H58-Resultat!J58)&gt;0),Resultat!$M$5,IF(((H58-J58)&lt;0)*((Resultat!H58-Resultat!J58)&lt;0),Resultat!$M$5,IF(((H58-J58)=0)*((Resultat!H58-Resultat!J58)=0),Resultat!$M$5,0)))))</f>
        <v/>
      </c>
      <c r="L58" s="69" t="str">
        <f t="shared" si="0"/>
        <v>x</v>
      </c>
    </row>
    <row r="59" spans="1:12" x14ac:dyDescent="0.15">
      <c r="A59" s="42">
        <v>47</v>
      </c>
      <c r="B59" s="43">
        <v>42553</v>
      </c>
      <c r="C59" s="44" t="s">
        <v>37</v>
      </c>
      <c r="D59" s="70">
        <v>0.25</v>
      </c>
      <c r="E59" s="45" t="str">
        <f>IF(J53="","",IF(H53&gt;J53,E53,G53))</f>
        <v/>
      </c>
      <c r="F59" s="46" t="s">
        <v>39</v>
      </c>
      <c r="G59" s="47" t="str">
        <f>IF(J55="","",IF(H55&gt;J55,E55,G55))</f>
        <v/>
      </c>
      <c r="H59" s="48"/>
      <c r="I59" s="46" t="s">
        <v>39</v>
      </c>
      <c r="J59" s="49"/>
      <c r="K59" s="57" t="str">
        <f>IF(OR(Resultat!H59="",H59="",Resultat!J59="",J59=""),"",IF((H59=Resultat!H59)*(J59=Resultat!J59),Resultat!$M$5+Resultat!$AA$4,IF(((H59-J59)&gt;0)*((Resultat!H59-Resultat!J59)&gt;0),Resultat!$M$5,IF(((H59-J59)&lt;0)*((Resultat!H59-Resultat!J59)&lt;0),Resultat!$M$5,IF(((H59-J59)=0)*((Resultat!H59-Resultat!J59)=0),Resultat!$M$5,0)))))</f>
        <v/>
      </c>
      <c r="L59" s="69" t="str">
        <f t="shared" si="0"/>
        <v>x</v>
      </c>
    </row>
    <row r="60" spans="1:12" x14ac:dyDescent="0.15">
      <c r="A60" s="42">
        <v>48</v>
      </c>
      <c r="B60" s="43">
        <v>42554</v>
      </c>
      <c r="C60" s="44" t="s">
        <v>41</v>
      </c>
      <c r="D60" s="70">
        <v>0.25</v>
      </c>
      <c r="E60" s="45" t="str">
        <f>IF(J52="","",IF(H52&gt;J52,E52,G52))</f>
        <v/>
      </c>
      <c r="F60" s="46" t="s">
        <v>39</v>
      </c>
      <c r="G60" s="47" t="str">
        <f>IF(J56="","",IF(H56&gt;J56,E56,G56))</f>
        <v/>
      </c>
      <c r="H60" s="48"/>
      <c r="I60" s="46" t="s">
        <v>39</v>
      </c>
      <c r="J60" s="49"/>
      <c r="K60" s="57" t="str">
        <f>IF(OR(Resultat!H60="",H60="",Resultat!J60="",J60=""),"",IF((H60=Resultat!H60)*(J60=Resultat!J60),Resultat!$M$5+Resultat!$AA$4,IF(((H60-J60)&gt;0)*((Resultat!H60-Resultat!J60)&gt;0),Resultat!$M$5,IF(((H60-J60)&lt;0)*((Resultat!H60-Resultat!J60)&lt;0),Resultat!$M$5,IF(((H60-J60)=0)*((Resultat!H60-Resultat!J60)=0),Resultat!$M$5,0)))))</f>
        <v/>
      </c>
      <c r="L60" s="69" t="str">
        <f t="shared" si="0"/>
        <v>x</v>
      </c>
    </row>
    <row r="61" spans="1:12" x14ac:dyDescent="0.15">
      <c r="A61" s="42">
        <v>49</v>
      </c>
      <c r="B61" s="43">
        <v>42557</v>
      </c>
      <c r="C61" s="44" t="s">
        <v>37</v>
      </c>
      <c r="D61" s="70" t="s">
        <v>57</v>
      </c>
      <c r="E61" s="45" t="str">
        <f>IF(J57="","",IF(H57&gt;J57,E57,G57))</f>
        <v/>
      </c>
      <c r="F61" s="46" t="s">
        <v>39</v>
      </c>
      <c r="G61" s="47" t="str">
        <f>IF(J58="","",IF(H58&gt;J58,E58,G58))</f>
        <v/>
      </c>
      <c r="H61" s="48"/>
      <c r="I61" s="46" t="s">
        <v>39</v>
      </c>
      <c r="J61" s="49"/>
      <c r="K61" s="57" t="str">
        <f>IF(OR(Resultat!H61="",H61="",Resultat!J61="",J61=""),"",IF((H61=Resultat!H61)*(J61=Resultat!J61),Resultat!$M$6+Resultat!$AA$4,IF(((H61-J61)&gt;0)*((Resultat!H61-Resultat!J61)&gt;0),Resultat!$M$6,IF(((H61-J61)&lt;0)*((Resultat!H61-Resultat!J61)&lt;0),Resultat!$M$6,IF(((H61-J61)=0)*((Resultat!H61-Resultat!J61)=0),Resultat!$M$6,0)))))</f>
        <v/>
      </c>
      <c r="L61" s="69" t="str">
        <f t="shared" si="0"/>
        <v>x</v>
      </c>
    </row>
    <row r="62" spans="1:12" x14ac:dyDescent="0.15">
      <c r="A62" s="42">
        <v>50</v>
      </c>
      <c r="B62" s="43">
        <v>42558</v>
      </c>
      <c r="C62" s="44" t="s">
        <v>37</v>
      </c>
      <c r="D62" s="70" t="s">
        <v>58</v>
      </c>
      <c r="E62" s="45" t="str">
        <f>IF(J59="","",IF(H59&gt;J59,E59,G59))</f>
        <v/>
      </c>
      <c r="F62" s="46" t="s">
        <v>39</v>
      </c>
      <c r="G62" s="47" t="str">
        <f>IF(J60="","",IF(H60&gt;J60,E60,G60))</f>
        <v/>
      </c>
      <c r="H62" s="48"/>
      <c r="I62" s="46" t="s">
        <v>39</v>
      </c>
      <c r="J62" s="49"/>
      <c r="K62" s="57" t="str">
        <f>IF(OR(Resultat!H62="",H62="",Resultat!J62="",J62=""),"",IF((H62=Resultat!H62)*(J62=Resultat!J62),Resultat!$M$6+Resultat!$AA$4,IF(((H62-J62)&gt;0)*((Resultat!H62-Resultat!J62)&gt;0),Resultat!$M$6,IF(((H62-J62)&lt;0)*((Resultat!H62-Resultat!J62)&lt;0),Resultat!$M$6,IF(((H62-J62)=0)*((Resultat!H62-Resultat!J62)=0),Resultat!$M$6,0)))))</f>
        <v/>
      </c>
      <c r="L62" s="69" t="str">
        <f t="shared" si="0"/>
        <v>x</v>
      </c>
    </row>
    <row r="63" spans="1:12" x14ac:dyDescent="0.15">
      <c r="A63" s="42">
        <v>51</v>
      </c>
      <c r="B63" s="43">
        <v>42561</v>
      </c>
      <c r="C63" s="44" t="s">
        <v>42</v>
      </c>
      <c r="D63" s="70" t="s">
        <v>23</v>
      </c>
      <c r="E63" s="45" t="str">
        <f>IF(J61="","",IF(H61&gt;J61,E61,G61))</f>
        <v/>
      </c>
      <c r="F63" s="46" t="s">
        <v>39</v>
      </c>
      <c r="G63" s="47" t="str">
        <f>IF(J62="","",IF(H62&gt;J62,E62,G62))</f>
        <v/>
      </c>
      <c r="H63" s="48"/>
      <c r="I63" s="46" t="s">
        <v>39</v>
      </c>
      <c r="J63" s="49"/>
      <c r="K63" s="57" t="str">
        <f>IF(OR(Resultat!H63="",H63="",Resultat!J63="",J63=""),"",IF((H63=Resultat!H63)*(J63=Resultat!J63),Resultat!$AA$3+Resultat!$AA$4,IF(((H63-J63)&gt;0)*((Resultat!H63-Resultat!J63)&gt;0),Resultat!$AA$3,IF(((H63-J63)&lt;0)*((Resultat!H63-Resultat!J63)&lt;0),Resultat!$AA$3,IF(((H63-J63)=0)*((Resultat!H63-Resultat!J63)=0),Resultat!$AA$3,0)))))</f>
        <v/>
      </c>
      <c r="L63" s="69" t="str">
        <f t="shared" si="0"/>
        <v>x</v>
      </c>
    </row>
    <row r="75" spans="1:1" x14ac:dyDescent="0.15">
      <c r="A75" s="51"/>
    </row>
    <row r="76" spans="1:1" x14ac:dyDescent="0.15">
      <c r="A76" s="51"/>
    </row>
    <row r="77" spans="1:1" x14ac:dyDescent="0.15">
      <c r="A77" s="51"/>
    </row>
  </sheetData>
  <mergeCells count="3">
    <mergeCell ref="H1:J1"/>
    <mergeCell ref="E12:G12"/>
    <mergeCell ref="H12:J12"/>
  </mergeCells>
  <phoneticPr fontId="15" type="noConversion"/>
  <conditionalFormatting sqref="A14:B14 B15:B16 D14:G14 I14 K14:K48">
    <cfRule type="expression" dxfId="185" priority="37">
      <formula>$H14&lt;&gt;""</formula>
    </cfRule>
  </conditionalFormatting>
  <conditionalFormatting sqref="A15 D15:G15 I15">
    <cfRule type="expression" dxfId="184" priority="36">
      <formula>$H15&lt;&gt;""</formula>
    </cfRule>
  </conditionalFormatting>
  <conditionalFormatting sqref="A16 D16:G16 I16">
    <cfRule type="expression" dxfId="183" priority="35">
      <formula>$H16&lt;&gt;""</formula>
    </cfRule>
  </conditionalFormatting>
  <conditionalFormatting sqref="A17:G17 B18:B48 C18 I17">
    <cfRule type="expression" dxfId="182" priority="34">
      <formula>$H17&lt;&gt;""</formula>
    </cfRule>
  </conditionalFormatting>
  <conditionalFormatting sqref="A18 D18:G18 I18">
    <cfRule type="expression" dxfId="181" priority="33">
      <formula>$H18&lt;&gt;""</formula>
    </cfRule>
  </conditionalFormatting>
  <conditionalFormatting sqref="A19 C19:G19 C20:C22 I19">
    <cfRule type="expression" dxfId="180" priority="32">
      <formula>$H19&lt;&gt;""</formula>
    </cfRule>
  </conditionalFormatting>
  <conditionalFormatting sqref="A20 D20:G20 I20">
    <cfRule type="expression" dxfId="179" priority="31">
      <formula>$H20&lt;&gt;""</formula>
    </cfRule>
  </conditionalFormatting>
  <conditionalFormatting sqref="A21 D21:G21 I21">
    <cfRule type="expression" dxfId="178" priority="30">
      <formula>$H21&lt;&gt;""</formula>
    </cfRule>
  </conditionalFormatting>
  <conditionalFormatting sqref="A22 D22:G22 I22">
    <cfRule type="expression" dxfId="177" priority="29">
      <formula>$H22&lt;&gt;""</formula>
    </cfRule>
  </conditionalFormatting>
  <conditionalFormatting sqref="A23 C23:G23 I23">
    <cfRule type="expression" dxfId="176" priority="28">
      <formula>$H23&lt;&gt;""</formula>
    </cfRule>
  </conditionalFormatting>
  <conditionalFormatting sqref="A24 C24:G24 I24">
    <cfRule type="expression" dxfId="175" priority="27">
      <formula>$H24&lt;&gt;""</formula>
    </cfRule>
  </conditionalFormatting>
  <conditionalFormatting sqref="A25 C25:G25 I25">
    <cfRule type="expression" dxfId="174" priority="26">
      <formula>$H25&lt;&gt;""</formula>
    </cfRule>
  </conditionalFormatting>
  <conditionalFormatting sqref="A26 C26:G26 I26">
    <cfRule type="expression" dxfId="173" priority="25">
      <formula>$H26&lt;&gt;""</formula>
    </cfRule>
  </conditionalFormatting>
  <conditionalFormatting sqref="A27 C27:G27 I27">
    <cfRule type="expression" dxfId="172" priority="24">
      <formula>$H27&lt;&gt;""</formula>
    </cfRule>
  </conditionalFormatting>
  <conditionalFormatting sqref="A28 C28:G28 I28">
    <cfRule type="expression" dxfId="171" priority="23">
      <formula>$H28&lt;&gt;""</formula>
    </cfRule>
  </conditionalFormatting>
  <conditionalFormatting sqref="A29 C29:G29 I29">
    <cfRule type="expression" dxfId="170" priority="22">
      <formula>$H29&lt;&gt;""</formula>
    </cfRule>
  </conditionalFormatting>
  <conditionalFormatting sqref="A30 C30:G30 I30">
    <cfRule type="expression" dxfId="169" priority="21">
      <formula>$H30&lt;&gt;""</formula>
    </cfRule>
  </conditionalFormatting>
  <conditionalFormatting sqref="A31 C31:G31 I31">
    <cfRule type="expression" dxfId="168" priority="20">
      <formula>$H31&lt;&gt;""</formula>
    </cfRule>
  </conditionalFormatting>
  <conditionalFormatting sqref="A32 C32:G32 I32">
    <cfRule type="expression" dxfId="167" priority="19">
      <formula>$H32&lt;&gt;""</formula>
    </cfRule>
  </conditionalFormatting>
  <conditionalFormatting sqref="A33 C33:G33 I33">
    <cfRule type="expression" dxfId="166" priority="18">
      <formula>$H33&lt;&gt;""</formula>
    </cfRule>
  </conditionalFormatting>
  <conditionalFormatting sqref="A34 C34:G34 I34">
    <cfRule type="expression" dxfId="165" priority="17">
      <formula>$H34&lt;&gt;""</formula>
    </cfRule>
  </conditionalFormatting>
  <conditionalFormatting sqref="A35 C35:G35 I35">
    <cfRule type="expression" dxfId="164" priority="16">
      <formula>$H35&lt;&gt;""</formula>
    </cfRule>
  </conditionalFormatting>
  <conditionalFormatting sqref="A36 C36:G36 I36">
    <cfRule type="expression" dxfId="163" priority="15">
      <formula>$H36&lt;&gt;""</formula>
    </cfRule>
  </conditionalFormatting>
  <conditionalFormatting sqref="A37 C37:G37 I37">
    <cfRule type="expression" dxfId="162" priority="14">
      <formula>$H37&lt;&gt;""</formula>
    </cfRule>
  </conditionalFormatting>
  <conditionalFormatting sqref="A38 C38:G38 I38">
    <cfRule type="expression" dxfId="161" priority="13">
      <formula>$H38&lt;&gt;""</formula>
    </cfRule>
  </conditionalFormatting>
  <conditionalFormatting sqref="A39 C39:G39 I39">
    <cfRule type="expression" dxfId="160" priority="12">
      <formula>$H39&lt;&gt;""</formula>
    </cfRule>
  </conditionalFormatting>
  <conditionalFormatting sqref="A40 C40:G40 I40">
    <cfRule type="expression" dxfId="159" priority="11">
      <formula>$H40&lt;&gt;""</formula>
    </cfRule>
  </conditionalFormatting>
  <conditionalFormatting sqref="A41 C41:G41 I41">
    <cfRule type="expression" dxfId="158" priority="10">
      <formula>$H41&lt;&gt;""</formula>
    </cfRule>
  </conditionalFormatting>
  <conditionalFormatting sqref="A42 C42:G42 I42">
    <cfRule type="expression" dxfId="157" priority="9">
      <formula>$H42&lt;&gt;""</formula>
    </cfRule>
  </conditionalFormatting>
  <conditionalFormatting sqref="A43 C43:G43 I43">
    <cfRule type="expression" dxfId="156" priority="8">
      <formula>$H43&lt;&gt;""</formula>
    </cfRule>
  </conditionalFormatting>
  <conditionalFormatting sqref="A44 C44:G44 I44">
    <cfRule type="expression" dxfId="155" priority="7">
      <formula>$H44&lt;&gt;""</formula>
    </cfRule>
  </conditionalFormatting>
  <conditionalFormatting sqref="A45 C45:G45 I45">
    <cfRule type="expression" dxfId="154" priority="6">
      <formula>$H45&lt;&gt;""</formula>
    </cfRule>
  </conditionalFormatting>
  <conditionalFormatting sqref="A46 C46:G46 I46">
    <cfRule type="expression" dxfId="153" priority="5">
      <formula>$H46&lt;&gt;""</formula>
    </cfRule>
  </conditionalFormatting>
  <conditionalFormatting sqref="A47 C47:G47 I47">
    <cfRule type="expression" dxfId="152" priority="4">
      <formula>$H47&lt;&gt;""</formula>
    </cfRule>
  </conditionalFormatting>
  <conditionalFormatting sqref="A48 C48:G48 I48">
    <cfRule type="expression" dxfId="151" priority="3">
      <formula>$H48&lt;&gt;""</formula>
    </cfRule>
  </conditionalFormatting>
  <conditionalFormatting sqref="A13:K13 C14:C16 H14:H48 J14:J48">
    <cfRule type="expression" dxfId="150" priority="2">
      <formula>$H13&lt;&gt;""</formula>
    </cfRule>
  </conditionalFormatting>
  <conditionalFormatting sqref="K49:K63">
    <cfRule type="expression" dxfId="149" priority="1">
      <formula>$H49&lt;&gt;""</formula>
    </cfRule>
  </conditionalFormatting>
  <pageMargins left="0.7" right="0.7" top="0.75" bottom="0.75" header="0.3" footer="0.3"/>
  <pageSetup paperSize="9" orientation="landscape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 enableFormatConditionsCalculation="0">
    <pageSetUpPr autoPageBreaks="0"/>
  </sheetPr>
  <dimension ref="A1:Y77"/>
  <sheetViews>
    <sheetView workbookViewId="0">
      <pane ySplit="12" topLeftCell="A13" activePane="bottomLeft" state="frozen"/>
      <selection pane="bottomLeft" activeCell="L61" sqref="L61"/>
    </sheetView>
  </sheetViews>
  <sheetFormatPr baseColWidth="10" defaultColWidth="8.83203125" defaultRowHeight="13" x14ac:dyDescent="0.15"/>
  <cols>
    <col min="1" max="1" width="8.5" style="34" customWidth="1"/>
    <col min="2" max="2" width="11.83203125" style="34" customWidth="1"/>
    <col min="3" max="3" width="8.83203125" style="34"/>
    <col min="4" max="4" width="8.83203125" style="34" customWidth="1"/>
    <col min="5" max="5" width="14.83203125" style="34" bestFit="1" customWidth="1"/>
    <col min="6" max="6" width="1.5" style="34" bestFit="1" customWidth="1"/>
    <col min="7" max="7" width="14.83203125" style="34" bestFit="1" customWidth="1"/>
    <col min="8" max="8" width="5.1640625" style="34" customWidth="1"/>
    <col min="9" max="9" width="1.5" style="34" customWidth="1"/>
    <col min="10" max="10" width="5.1640625" style="34" customWidth="1"/>
    <col min="11" max="11" width="6.1640625" style="34" customWidth="1"/>
    <col min="12" max="12" width="12.33203125" style="34" customWidth="1"/>
    <col min="13" max="13" width="8.83203125" style="34" customWidth="1"/>
    <col min="14" max="14" width="10.83203125" style="34" customWidth="1"/>
    <col min="15" max="15" width="13.33203125" style="34" customWidth="1"/>
    <col min="16" max="16384" width="8.83203125" style="34"/>
  </cols>
  <sheetData>
    <row r="1" spans="1:25" ht="20" x14ac:dyDescent="0.2">
      <c r="A1" s="1" t="s">
        <v>89</v>
      </c>
      <c r="B1" s="2"/>
      <c r="C1" s="2"/>
      <c r="D1" s="2"/>
      <c r="E1" s="3"/>
      <c r="F1" s="3"/>
      <c r="G1" s="3"/>
      <c r="H1" s="99" t="s">
        <v>95</v>
      </c>
      <c r="I1" s="99"/>
      <c r="J1" s="99"/>
      <c r="K1" s="67">
        <f>SUM(K13:K63)+SUM(P16:P19)</f>
        <v>43</v>
      </c>
      <c r="L1" s="3"/>
      <c r="M1" s="3"/>
      <c r="N1" s="31" t="s">
        <v>0</v>
      </c>
      <c r="O1" s="32"/>
      <c r="P1" s="32"/>
      <c r="Q1" s="32"/>
      <c r="R1" s="32"/>
      <c r="S1" s="32" t="s">
        <v>1</v>
      </c>
      <c r="T1" s="32"/>
      <c r="U1" s="32" t="s">
        <v>1</v>
      </c>
      <c r="V1" s="32"/>
      <c r="W1" s="32"/>
      <c r="X1" s="32"/>
      <c r="Y1" s="33"/>
    </row>
    <row r="2" spans="1:25" ht="12.75" customHeight="1" x14ac:dyDescent="0.15">
      <c r="A2" s="5" t="s">
        <v>2</v>
      </c>
      <c r="B2" s="6"/>
      <c r="C2" s="6"/>
      <c r="D2" s="6"/>
      <c r="E2" s="7"/>
      <c r="F2" s="7"/>
      <c r="G2" s="7"/>
      <c r="H2" s="8"/>
      <c r="I2" s="8"/>
      <c r="J2" s="8"/>
      <c r="K2" s="8"/>
      <c r="L2" s="7"/>
      <c r="M2" s="7"/>
      <c r="N2" s="35" t="s">
        <v>3</v>
      </c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</row>
    <row r="3" spans="1:25" ht="12.75" customHeight="1" x14ac:dyDescent="0.15">
      <c r="A3" s="9" t="s">
        <v>4</v>
      </c>
      <c r="B3" s="10"/>
      <c r="C3" s="10"/>
      <c r="D3" s="10"/>
      <c r="E3" s="10" t="s">
        <v>5</v>
      </c>
      <c r="F3" s="11"/>
      <c r="G3" s="12"/>
      <c r="H3" s="12"/>
      <c r="I3" s="12"/>
      <c r="J3" s="12"/>
      <c r="K3" s="12"/>
      <c r="L3" s="12" t="s">
        <v>6</v>
      </c>
      <c r="M3" s="12"/>
      <c r="N3" s="35" t="s">
        <v>7</v>
      </c>
      <c r="O3" s="36"/>
      <c r="P3" s="36"/>
      <c r="Q3" s="36"/>
      <c r="R3" s="36"/>
      <c r="S3" s="36"/>
      <c r="T3" s="36"/>
      <c r="U3" s="36"/>
      <c r="V3" s="36"/>
      <c r="W3" s="36"/>
      <c r="X3" s="36"/>
      <c r="Y3" s="37"/>
    </row>
    <row r="4" spans="1:25" ht="12.75" customHeight="1" x14ac:dyDescent="0.15">
      <c r="A4" s="13" t="s">
        <v>8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4" t="s">
        <v>9</v>
      </c>
      <c r="M4" s="16">
        <v>4</v>
      </c>
      <c r="N4" s="38"/>
      <c r="O4" s="36"/>
      <c r="P4" s="36"/>
      <c r="Q4" s="36"/>
      <c r="R4" s="36"/>
      <c r="S4" s="36"/>
      <c r="T4" s="36"/>
      <c r="U4" s="36"/>
      <c r="V4" s="36"/>
      <c r="W4" s="36"/>
      <c r="X4" s="36"/>
      <c r="Y4" s="37"/>
    </row>
    <row r="5" spans="1:25" ht="12.75" customHeight="1" x14ac:dyDescent="0.15">
      <c r="A5" s="17" t="s">
        <v>10</v>
      </c>
      <c r="B5" s="18"/>
      <c r="C5" s="18"/>
      <c r="D5" s="18"/>
      <c r="E5" s="18" t="s">
        <v>11</v>
      </c>
      <c r="F5" s="18"/>
      <c r="G5" s="18"/>
      <c r="H5" s="19"/>
      <c r="I5" s="19"/>
      <c r="J5" s="19"/>
      <c r="K5" s="19"/>
      <c r="L5" s="18" t="s">
        <v>12</v>
      </c>
      <c r="M5" s="20">
        <v>6</v>
      </c>
      <c r="N5" s="35" t="s">
        <v>13</v>
      </c>
      <c r="O5" s="36"/>
      <c r="P5" s="36"/>
      <c r="Q5" s="36"/>
      <c r="R5" s="36"/>
      <c r="S5" s="36"/>
      <c r="T5" s="36"/>
      <c r="U5" s="36"/>
      <c r="V5" s="36"/>
      <c r="W5" s="36"/>
      <c r="X5" s="36"/>
      <c r="Y5" s="37"/>
    </row>
    <row r="6" spans="1:25" ht="12.75" customHeight="1" x14ac:dyDescent="0.15">
      <c r="A6" s="17" t="s">
        <v>14</v>
      </c>
      <c r="B6" s="18"/>
      <c r="C6" s="18"/>
      <c r="D6" s="18"/>
      <c r="E6" s="18" t="s">
        <v>15</v>
      </c>
      <c r="F6" s="18"/>
      <c r="G6" s="18"/>
      <c r="H6" s="19"/>
      <c r="I6" s="19"/>
      <c r="J6" s="19"/>
      <c r="K6" s="19"/>
      <c r="L6" s="18" t="s">
        <v>16</v>
      </c>
      <c r="M6" s="20">
        <v>10</v>
      </c>
      <c r="N6" s="38" t="s">
        <v>17</v>
      </c>
      <c r="O6" s="36"/>
      <c r="P6" s="36"/>
      <c r="Q6" s="36"/>
      <c r="R6" s="36"/>
      <c r="S6" s="36"/>
      <c r="T6" s="36"/>
      <c r="U6" s="36"/>
      <c r="V6" s="36"/>
      <c r="W6" s="36"/>
      <c r="X6" s="36"/>
      <c r="Y6" s="37"/>
    </row>
    <row r="7" spans="1:25" ht="12.75" customHeight="1" x14ac:dyDescent="0.15">
      <c r="A7" s="17" t="s">
        <v>18</v>
      </c>
      <c r="B7" s="18"/>
      <c r="C7" s="18"/>
      <c r="D7" s="18"/>
      <c r="E7" s="18" t="s">
        <v>19</v>
      </c>
      <c r="F7" s="18"/>
      <c r="G7" s="18"/>
      <c r="H7" s="19"/>
      <c r="I7" s="19"/>
      <c r="J7" s="19"/>
      <c r="K7" s="19"/>
      <c r="L7" s="18" t="s">
        <v>20</v>
      </c>
      <c r="M7" s="20">
        <v>14</v>
      </c>
      <c r="N7" s="38" t="s">
        <v>21</v>
      </c>
      <c r="O7" s="36"/>
      <c r="P7" s="36"/>
      <c r="Q7" s="36"/>
      <c r="R7" s="36"/>
      <c r="S7" s="36"/>
      <c r="T7" s="36"/>
      <c r="U7" s="36"/>
      <c r="V7" s="36"/>
      <c r="W7" s="36"/>
      <c r="X7" s="36"/>
      <c r="Y7" s="37"/>
    </row>
    <row r="8" spans="1:25" ht="12.75" customHeight="1" x14ac:dyDescent="0.15">
      <c r="A8" s="17" t="s">
        <v>22</v>
      </c>
      <c r="B8" s="18"/>
      <c r="C8" s="18"/>
      <c r="D8" s="18"/>
      <c r="E8" s="18"/>
      <c r="F8" s="18"/>
      <c r="G8" s="18"/>
      <c r="H8" s="19"/>
      <c r="I8" s="19"/>
      <c r="J8" s="19"/>
      <c r="K8" s="19"/>
      <c r="L8" s="18" t="s">
        <v>23</v>
      </c>
      <c r="M8" s="20">
        <v>16</v>
      </c>
      <c r="N8" s="38" t="s">
        <v>24</v>
      </c>
      <c r="O8" s="36"/>
      <c r="P8" s="36"/>
      <c r="Q8" s="36"/>
      <c r="R8" s="36"/>
      <c r="S8" s="36"/>
      <c r="T8" s="36"/>
      <c r="U8" s="36"/>
      <c r="V8" s="36"/>
      <c r="W8" s="36"/>
      <c r="X8" s="36"/>
      <c r="Y8" s="37"/>
    </row>
    <row r="9" spans="1:25" ht="12.75" customHeight="1" x14ac:dyDescent="0.15">
      <c r="A9" s="17" t="s">
        <v>25</v>
      </c>
      <c r="B9" s="18"/>
      <c r="C9" s="18"/>
      <c r="D9" s="18"/>
      <c r="E9" s="18"/>
      <c r="F9" s="18"/>
      <c r="G9" s="18"/>
      <c r="H9" s="19"/>
      <c r="I9" s="19"/>
      <c r="J9" s="19"/>
      <c r="K9" s="19"/>
      <c r="L9" s="18"/>
      <c r="M9" s="18"/>
      <c r="N9" s="35" t="s">
        <v>26</v>
      </c>
      <c r="O9" s="36"/>
      <c r="P9" s="36"/>
      <c r="Q9" s="36"/>
      <c r="R9" s="36"/>
      <c r="S9" s="36"/>
      <c r="T9" s="36"/>
      <c r="U9" s="36"/>
      <c r="V9" s="36"/>
      <c r="W9" s="36"/>
      <c r="X9" s="36"/>
      <c r="Y9" s="37"/>
    </row>
    <row r="10" spans="1:25" ht="12.75" customHeight="1" x14ac:dyDescent="0.15">
      <c r="A10" s="21" t="s">
        <v>27</v>
      </c>
      <c r="B10" s="22"/>
      <c r="C10" s="22"/>
      <c r="D10" s="22"/>
      <c r="E10" s="22"/>
      <c r="F10" s="22"/>
      <c r="G10" s="22"/>
      <c r="H10" s="23"/>
      <c r="I10" s="23"/>
      <c r="J10" s="23"/>
      <c r="K10" s="23"/>
      <c r="L10" s="22"/>
      <c r="M10" s="22"/>
      <c r="N10" s="38" t="s">
        <v>28</v>
      </c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7"/>
    </row>
    <row r="11" spans="1:25" ht="12.75" customHeight="1" x14ac:dyDescent="0.15">
      <c r="A11" s="1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5"/>
      <c r="M11" s="26"/>
      <c r="N11" s="39" t="s">
        <v>29</v>
      </c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1"/>
    </row>
    <row r="12" spans="1:25" x14ac:dyDescent="0.15">
      <c r="A12" s="27" t="s">
        <v>30</v>
      </c>
      <c r="B12" s="25" t="s">
        <v>31</v>
      </c>
      <c r="C12" s="76" t="s">
        <v>32</v>
      </c>
      <c r="D12" s="76" t="s">
        <v>33</v>
      </c>
      <c r="E12" s="95" t="s">
        <v>34</v>
      </c>
      <c r="F12" s="96"/>
      <c r="G12" s="95"/>
      <c r="H12" s="95" t="s">
        <v>35</v>
      </c>
      <c r="I12" s="95"/>
      <c r="J12" s="95"/>
      <c r="K12" s="75" t="s">
        <v>90</v>
      </c>
      <c r="L12" s="75" t="s">
        <v>96</v>
      </c>
      <c r="M12" s="75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</row>
    <row r="13" spans="1:25" x14ac:dyDescent="0.15">
      <c r="A13" s="42">
        <v>1</v>
      </c>
      <c r="B13" s="43">
        <v>42531</v>
      </c>
      <c r="C13" s="44" t="s">
        <v>42</v>
      </c>
      <c r="D13" s="42" t="s">
        <v>38</v>
      </c>
      <c r="E13" s="45" t="s">
        <v>51</v>
      </c>
      <c r="F13" s="46" t="s">
        <v>39</v>
      </c>
      <c r="G13" s="47" t="s">
        <v>60</v>
      </c>
      <c r="H13" s="48">
        <v>1</v>
      </c>
      <c r="I13" s="46" t="s">
        <v>39</v>
      </c>
      <c r="J13" s="49">
        <v>0</v>
      </c>
      <c r="K13" s="57">
        <f>IF(OR(Resultat!H13="",H13="",Resultat!J13="",J13=""),"",IF((H13=Resultat!H13)*(J13=Resultat!J13),Resultat!$AA$3+Resultat!$AA$4,IF(((H13-J13)&gt;0)*((Resultat!H13-Resultat!J13)&gt;0),Resultat!$AA$3,IF(((H13-J13)&lt;0)*((Resultat!H13-Resultat!J13)&lt;0),Resultat!$AA$3,IF(((H13-J13)=0)*((Resultat!H13-Resultat!J13)=0),Resultat!$AA$3,0)))))</f>
        <v>0</v>
      </c>
      <c r="L13" s="69">
        <f>IF(H13&gt;J13,1,IF(H13=J13,"x",IF(H13&lt;J13,2)))</f>
        <v>1</v>
      </c>
    </row>
    <row r="14" spans="1:25" x14ac:dyDescent="0.15">
      <c r="A14" s="42">
        <v>2</v>
      </c>
      <c r="B14" s="43">
        <v>42532</v>
      </c>
      <c r="C14" s="44" t="s">
        <v>59</v>
      </c>
      <c r="D14" s="42" t="s">
        <v>38</v>
      </c>
      <c r="E14" s="45" t="s">
        <v>61</v>
      </c>
      <c r="F14" s="46" t="s">
        <v>39</v>
      </c>
      <c r="G14" s="47" t="s">
        <v>50</v>
      </c>
      <c r="H14" s="48">
        <v>1</v>
      </c>
      <c r="I14" s="46" t="s">
        <v>39</v>
      </c>
      <c r="J14" s="49">
        <v>0</v>
      </c>
      <c r="K14" s="57">
        <f>IF(OR(Resultat!H14="",H14="",Resultat!J14="",J14=""),"",IF((H14=Resultat!H14)*(J14=Resultat!J14),Resultat!$AA$3+Resultat!$AA$4,IF(((H14-J14)&gt;0)*((Resultat!H14-Resultat!J14)&gt;0),Resultat!$AA$3,IF(((H14-J14)&lt;0)*((Resultat!H14-Resultat!J14)&lt;0),Resultat!$AA$3,IF(((H14-J14)=0)*((Resultat!H14-Resultat!J14)=0),Resultat!$AA$3,0)))))</f>
        <v>3</v>
      </c>
      <c r="L14" s="69">
        <f t="shared" ref="L14:L63" si="0">IF(H14&gt;J14,1,IF(H14=J14,"x",IF(H14&lt;J14,2)))</f>
        <v>1</v>
      </c>
    </row>
    <row r="15" spans="1:25" ht="13" customHeight="1" x14ac:dyDescent="0.2">
      <c r="A15" s="42">
        <v>3</v>
      </c>
      <c r="B15" s="43">
        <v>42532</v>
      </c>
      <c r="C15" s="44" t="s">
        <v>41</v>
      </c>
      <c r="D15" s="42" t="s">
        <v>43</v>
      </c>
      <c r="E15" s="45" t="s">
        <v>62</v>
      </c>
      <c r="F15" s="46" t="s">
        <v>39</v>
      </c>
      <c r="G15" s="47" t="s">
        <v>63</v>
      </c>
      <c r="H15" s="48">
        <v>1</v>
      </c>
      <c r="I15" s="46" t="s">
        <v>39</v>
      </c>
      <c r="J15" s="49">
        <v>0</v>
      </c>
      <c r="K15" s="57">
        <f>IF(OR(Resultat!H15="",H15="",Resultat!J15="",J15=""),"",IF((H15=Resultat!H15)*(J15=Resultat!J15),Resultat!$AA$3+Resultat!$AA$4,IF(((H15-J15)&gt;0)*((Resultat!H15-Resultat!J15)&gt;0),Resultat!$AA$3,IF(((H15-J15)&lt;0)*((Resultat!H15-Resultat!J15)&lt;0),Resultat!$AA$3,IF(((H15-J15)=0)*((Resultat!H15-Resultat!J15)=0),Resultat!$AA$3,0)))))</f>
        <v>0</v>
      </c>
      <c r="L15" s="69">
        <f t="shared" si="0"/>
        <v>1</v>
      </c>
      <c r="N15" s="58"/>
      <c r="O15" s="59"/>
      <c r="P15" s="60" t="s">
        <v>90</v>
      </c>
    </row>
    <row r="16" spans="1:25" ht="13" customHeight="1" x14ac:dyDescent="0.2">
      <c r="A16" s="42">
        <v>4</v>
      </c>
      <c r="B16" s="43">
        <v>42532</v>
      </c>
      <c r="C16" s="44" t="s">
        <v>42</v>
      </c>
      <c r="D16" s="42" t="s">
        <v>43</v>
      </c>
      <c r="E16" s="45" t="s">
        <v>47</v>
      </c>
      <c r="F16" s="46" t="s">
        <v>39</v>
      </c>
      <c r="G16" s="47" t="s">
        <v>56</v>
      </c>
      <c r="H16" s="48">
        <v>1</v>
      </c>
      <c r="I16" s="46" t="s">
        <v>39</v>
      </c>
      <c r="J16" s="49">
        <v>0</v>
      </c>
      <c r="K16" s="57">
        <f>IF(OR(Resultat!H16="",H16="",Resultat!J16="",J16=""),"",IF((H16=Resultat!H16)*(J16=Resultat!J16),Resultat!$AA$3+Resultat!$AA$4,IF(((H16-J16)&gt;0)*((Resultat!H16-Resultat!J16)&gt;0),Resultat!$AA$3,IF(((H16-J16)&lt;0)*((Resultat!H16-Resultat!J16)&lt;0),Resultat!$AA$3,IF(((H16-J16)=0)*((Resultat!H16-Resultat!J16)=0),Resultat!$AA$3,0)))))</f>
        <v>3</v>
      </c>
      <c r="L16" s="69">
        <f t="shared" si="0"/>
        <v>1</v>
      </c>
      <c r="N16" s="61" t="s">
        <v>91</v>
      </c>
      <c r="O16" s="62" t="s">
        <v>47</v>
      </c>
      <c r="P16" s="63">
        <f>Resultat!$AA$6*(SUMPRODUCT((Resultat!J$13:J$64&lt;&gt;"")*(Resultat!$E$13:$E$64=O16)*(Resultat!$J$13:$J$64=0)))+Resultat!$AA$6*(SUMPRODUCT((Resultat!$H$13:$H$64&lt;&gt;"")*(Resultat!$G$13:$G$64=O16)*(Resultat!$H$13:$H$64=0)))</f>
        <v>4</v>
      </c>
    </row>
    <row r="17" spans="1:16" ht="13" customHeight="1" x14ac:dyDescent="0.2">
      <c r="A17" s="42">
        <v>5</v>
      </c>
      <c r="B17" s="43">
        <v>42533</v>
      </c>
      <c r="C17" s="44" t="s">
        <v>59</v>
      </c>
      <c r="D17" s="42" t="s">
        <v>46</v>
      </c>
      <c r="E17" s="45" t="s">
        <v>64</v>
      </c>
      <c r="F17" s="46" t="s">
        <v>39</v>
      </c>
      <c r="G17" s="47" t="s">
        <v>40</v>
      </c>
      <c r="H17" s="48">
        <v>1</v>
      </c>
      <c r="I17" s="46" t="s">
        <v>39</v>
      </c>
      <c r="J17" s="49">
        <v>0</v>
      </c>
      <c r="K17" s="57">
        <f>IF(OR(Resultat!H17="",H17="",Resultat!J17="",J17=""),"",IF((H17=Resultat!H17)*(J17=Resultat!J17),Resultat!$AA$3+Resultat!$AA$4,IF(((H17-J17)&gt;0)*((Resultat!H17-Resultat!J17)&gt;0),Resultat!$AA$3,IF(((H17-J17)&lt;0)*((Resultat!H17-Resultat!J17)&lt;0),Resultat!$AA$3,IF(((H17-J17)=0)*((Resultat!H17-Resultat!J17)=0),Resultat!$AA$3,0)))))</f>
        <v>0</v>
      </c>
      <c r="L17" s="69">
        <f t="shared" si="0"/>
        <v>1</v>
      </c>
      <c r="N17" s="61" t="s">
        <v>92</v>
      </c>
      <c r="O17" s="62" t="s">
        <v>110</v>
      </c>
      <c r="P17" s="63">
        <f>COUNTIF(Resultat!$K$13:$AB$64,O17)*Resultat!$AA$6</f>
        <v>4</v>
      </c>
    </row>
    <row r="18" spans="1:16" ht="13" customHeight="1" x14ac:dyDescent="0.2">
      <c r="A18" s="42">
        <v>6</v>
      </c>
      <c r="B18" s="43">
        <v>42533</v>
      </c>
      <c r="C18" s="44" t="s">
        <v>41</v>
      </c>
      <c r="D18" s="42" t="s">
        <v>45</v>
      </c>
      <c r="E18" s="45" t="s">
        <v>65</v>
      </c>
      <c r="F18" s="46" t="s">
        <v>39</v>
      </c>
      <c r="G18" s="47" t="s">
        <v>66</v>
      </c>
      <c r="H18" s="48">
        <v>1</v>
      </c>
      <c r="I18" s="46" t="s">
        <v>39</v>
      </c>
      <c r="J18" s="49">
        <v>0</v>
      </c>
      <c r="K18" s="57">
        <f>IF(OR(Resultat!H18="",H18="",Resultat!J18="",J18=""),"",IF((H18=Resultat!H18)*(J18=Resultat!J18),Resultat!$AA$3+Resultat!$AA$4,IF(((H18-J18)&gt;0)*((Resultat!H18-Resultat!J18)&gt;0),Resultat!$AA$3,IF(((H18-J18)&lt;0)*((Resultat!H18-Resultat!J18)&lt;0),Resultat!$AA$3,IF(((H18-J18)=0)*((Resultat!H18-Resultat!J18)=0),Resultat!$AA$3,0)))))</f>
        <v>3</v>
      </c>
      <c r="L18" s="69">
        <f t="shared" si="0"/>
        <v>1</v>
      </c>
      <c r="N18" s="61" t="s">
        <v>93</v>
      </c>
      <c r="O18" s="62" t="s">
        <v>113</v>
      </c>
      <c r="P18" s="63">
        <f>COUNTIF(Resultat!$K$13:$AB$64,O18)*Resultat!$AA$6</f>
        <v>2</v>
      </c>
    </row>
    <row r="19" spans="1:16" ht="13" customHeight="1" x14ac:dyDescent="0.2">
      <c r="A19" s="42">
        <v>7</v>
      </c>
      <c r="B19" s="43">
        <v>42533</v>
      </c>
      <c r="C19" s="44" t="s">
        <v>42</v>
      </c>
      <c r="D19" s="42" t="s">
        <v>45</v>
      </c>
      <c r="E19" s="45" t="s">
        <v>53</v>
      </c>
      <c r="F19" s="46" t="s">
        <v>39</v>
      </c>
      <c r="G19" s="47" t="s">
        <v>67</v>
      </c>
      <c r="H19" s="48">
        <v>2</v>
      </c>
      <c r="I19" s="46" t="s">
        <v>39</v>
      </c>
      <c r="J19" s="49">
        <v>0</v>
      </c>
      <c r="K19" s="57">
        <f>IF(OR(Resultat!H19="",H19="",Resultat!J19="",J19=""),"",IF((H19=Resultat!H19)*(J19=Resultat!J19),Resultat!$AA$3+Resultat!$AA$4,IF(((H19-J19)&gt;0)*((Resultat!H19-Resultat!J19)&gt;0),Resultat!$AA$3,IF(((H19-J19)&lt;0)*((Resultat!H19-Resultat!J19)&lt;0),Resultat!$AA$3,IF(((H19-J19)=0)*((Resultat!H19-Resultat!J19)=0),Resultat!$AA$3,0)))))</f>
        <v>2</v>
      </c>
      <c r="L19" s="69">
        <f t="shared" si="0"/>
        <v>1</v>
      </c>
      <c r="N19" s="64" t="s">
        <v>94</v>
      </c>
      <c r="O19" s="65" t="s">
        <v>114</v>
      </c>
      <c r="P19" s="66">
        <f>COUNTIF(Resultat!$K$13:$AB$64,O19)*Resultat!$AA$6</f>
        <v>0</v>
      </c>
    </row>
    <row r="20" spans="1:16" x14ac:dyDescent="0.15">
      <c r="A20" s="42">
        <v>8</v>
      </c>
      <c r="B20" s="43">
        <v>42534</v>
      </c>
      <c r="C20" s="44" t="s">
        <v>59</v>
      </c>
      <c r="D20" s="42" t="s">
        <v>46</v>
      </c>
      <c r="E20" s="45" t="s">
        <v>44</v>
      </c>
      <c r="F20" s="46" t="s">
        <v>39</v>
      </c>
      <c r="G20" s="47" t="s">
        <v>68</v>
      </c>
      <c r="H20" s="48">
        <v>1</v>
      </c>
      <c r="I20" s="46" t="s">
        <v>39</v>
      </c>
      <c r="J20" s="49">
        <v>0</v>
      </c>
      <c r="K20" s="57">
        <f>IF(OR(Resultat!H20="",H20="",Resultat!J20="",J20=""),"",IF((H20=Resultat!H20)*(J20=Resultat!J20),Resultat!$AA$3+Resultat!$AA$4,IF(((H20-J20)&gt;0)*((Resultat!H20-Resultat!J20)&gt;0),Resultat!$AA$3,IF(((H20-J20)&lt;0)*((Resultat!H20-Resultat!J20)&lt;0),Resultat!$AA$3,IF(((H20-J20)=0)*((Resultat!H20-Resultat!J20)=0),Resultat!$AA$3,0)))))</f>
        <v>0</v>
      </c>
      <c r="L20" s="69">
        <f t="shared" si="0"/>
        <v>1</v>
      </c>
    </row>
    <row r="21" spans="1:16" x14ac:dyDescent="0.15">
      <c r="A21" s="42">
        <v>9</v>
      </c>
      <c r="B21" s="43">
        <v>42534</v>
      </c>
      <c r="C21" s="44" t="s">
        <v>41</v>
      </c>
      <c r="D21" s="42" t="s">
        <v>49</v>
      </c>
      <c r="E21" s="45" t="s">
        <v>69</v>
      </c>
      <c r="F21" s="46" t="s">
        <v>39</v>
      </c>
      <c r="G21" s="47" t="s">
        <v>70</v>
      </c>
      <c r="H21" s="48">
        <v>1</v>
      </c>
      <c r="I21" s="46" t="s">
        <v>39</v>
      </c>
      <c r="J21" s="49">
        <v>0</v>
      </c>
      <c r="K21" s="57">
        <f>IF(OR(Resultat!H21="",H21="",Resultat!J21="",J21=""),"",IF((H21=Resultat!H21)*(J21=Resultat!J21),Resultat!$AA$3+Resultat!$AA$4,IF(((H21-J21)&gt;0)*((Resultat!H21-Resultat!J21)&gt;0),Resultat!$AA$3,IF(((H21-J21)&lt;0)*((Resultat!H21-Resultat!J21)&lt;0),Resultat!$AA$3,IF(((H21-J21)=0)*((Resultat!H21-Resultat!J21)=0),Resultat!$AA$3,0)))))</f>
        <v>3</v>
      </c>
      <c r="L21" s="69">
        <f t="shared" si="0"/>
        <v>1</v>
      </c>
    </row>
    <row r="22" spans="1:16" x14ac:dyDescent="0.15">
      <c r="A22" s="42">
        <v>10</v>
      </c>
      <c r="B22" s="43">
        <v>42534</v>
      </c>
      <c r="C22" s="44" t="s">
        <v>42</v>
      </c>
      <c r="D22" s="42" t="s">
        <v>49</v>
      </c>
      <c r="E22" s="45" t="s">
        <v>55</v>
      </c>
      <c r="F22" s="46" t="s">
        <v>39</v>
      </c>
      <c r="G22" s="47" t="s">
        <v>48</v>
      </c>
      <c r="H22" s="48">
        <v>1</v>
      </c>
      <c r="I22" s="46" t="s">
        <v>39</v>
      </c>
      <c r="J22" s="49">
        <v>0</v>
      </c>
      <c r="K22" s="57">
        <f>IF(OR(Resultat!H22="",H22="",Resultat!J22="",J22=""),"",IF((H22=Resultat!H22)*(J22=Resultat!J22),Resultat!$AA$3+Resultat!$AA$4,IF(((H22-J22)&gt;0)*((Resultat!H22-Resultat!J22)&gt;0),Resultat!$AA$3,IF(((H22-J22)&lt;0)*((Resultat!H22-Resultat!J22)&lt;0),Resultat!$AA$3,IF(((H22-J22)=0)*((Resultat!H22-Resultat!J22)=0),Resultat!$AA$3,0)))))</f>
        <v>0</v>
      </c>
      <c r="L22" s="69">
        <f t="shared" si="0"/>
        <v>1</v>
      </c>
    </row>
    <row r="23" spans="1:16" x14ac:dyDescent="0.15">
      <c r="A23" s="42">
        <v>11</v>
      </c>
      <c r="B23" s="43">
        <v>42535</v>
      </c>
      <c r="C23" s="44" t="s">
        <v>41</v>
      </c>
      <c r="D23" s="42" t="s">
        <v>52</v>
      </c>
      <c r="E23" s="45" t="s">
        <v>71</v>
      </c>
      <c r="F23" s="46" t="s">
        <v>39</v>
      </c>
      <c r="G23" s="47" t="s">
        <v>72</v>
      </c>
      <c r="H23" s="48">
        <v>1</v>
      </c>
      <c r="I23" s="46" t="s">
        <v>39</v>
      </c>
      <c r="J23" s="49">
        <v>0</v>
      </c>
      <c r="K23" s="57">
        <f>IF(OR(Resultat!H23="",H23="",Resultat!J23="",J23=""),"",IF((H23=Resultat!H23)*(J23=Resultat!J23),Resultat!$AA$3+Resultat!$AA$4,IF(((H23-J23)&gt;0)*((Resultat!H23-Resultat!J23)&gt;0),Resultat!$AA$3,IF(((H23-J23)&lt;0)*((Resultat!H23-Resultat!J23)&lt;0),Resultat!$AA$3,IF(((H23-J23)=0)*((Resultat!H23-Resultat!J23)=0),Resultat!$AA$3,0)))))</f>
        <v>2</v>
      </c>
      <c r="L23" s="69">
        <f t="shared" si="0"/>
        <v>1</v>
      </c>
    </row>
    <row r="24" spans="1:16" x14ac:dyDescent="0.15">
      <c r="A24" s="42">
        <v>12</v>
      </c>
      <c r="B24" s="43">
        <v>42535</v>
      </c>
      <c r="C24" s="44" t="s">
        <v>42</v>
      </c>
      <c r="D24" s="42" t="s">
        <v>52</v>
      </c>
      <c r="E24" s="45" t="s">
        <v>54</v>
      </c>
      <c r="F24" s="46" t="s">
        <v>39</v>
      </c>
      <c r="G24" s="47" t="s">
        <v>73</v>
      </c>
      <c r="H24" s="48">
        <v>1</v>
      </c>
      <c r="I24" s="46" t="s">
        <v>39</v>
      </c>
      <c r="J24" s="49">
        <v>0</v>
      </c>
      <c r="K24" s="57">
        <f>IF(OR(Resultat!H24="",H24="",Resultat!J24="",J24=""),"",IF((H24=Resultat!H24)*(J24=Resultat!J24),Resultat!$AA$3+Resultat!$AA$4,IF(((H24-J24)&gt;0)*((Resultat!H24-Resultat!J24)&gt;0),Resultat!$AA$3,IF(((H24-J24)&lt;0)*((Resultat!H24-Resultat!J24)&lt;0),Resultat!$AA$3,IF(((H24-J24)=0)*((Resultat!H24-Resultat!J24)=0),Resultat!$AA$3,0)))))</f>
        <v>0</v>
      </c>
      <c r="L24" s="69">
        <f t="shared" si="0"/>
        <v>1</v>
      </c>
    </row>
    <row r="25" spans="1:16" x14ac:dyDescent="0.15">
      <c r="A25" s="42">
        <v>13</v>
      </c>
      <c r="B25" s="43">
        <v>42536</v>
      </c>
      <c r="C25" s="44" t="s">
        <v>59</v>
      </c>
      <c r="D25" s="42" t="s">
        <v>43</v>
      </c>
      <c r="E25" s="45" t="s">
        <v>56</v>
      </c>
      <c r="F25" s="46" t="s">
        <v>39</v>
      </c>
      <c r="G25" s="47" t="s">
        <v>63</v>
      </c>
      <c r="H25" s="48">
        <v>1</v>
      </c>
      <c r="I25" s="46" t="s">
        <v>39</v>
      </c>
      <c r="J25" s="49">
        <v>0</v>
      </c>
      <c r="K25" s="57">
        <f>IF(OR(Resultat!H25="",H25="",Resultat!J25="",J25=""),"",IF((H25=Resultat!H25)*(J25=Resultat!J25),Resultat!$AA$3+Resultat!$AA$4,IF(((H25-J25)&gt;0)*((Resultat!H25-Resultat!J25)&gt;0),Resultat!$AA$3,IF(((H25-J25)&lt;0)*((Resultat!H25-Resultat!J25)&lt;0),Resultat!$AA$3,IF(((H25-J25)=0)*((Resultat!H25-Resultat!J25)=0),Resultat!$AA$3,0)))))</f>
        <v>0</v>
      </c>
      <c r="L25" s="69">
        <f t="shared" si="0"/>
        <v>1</v>
      </c>
    </row>
    <row r="26" spans="1:16" x14ac:dyDescent="0.15">
      <c r="A26" s="42">
        <v>14</v>
      </c>
      <c r="B26" s="43">
        <v>42536</v>
      </c>
      <c r="C26" s="44" t="s">
        <v>41</v>
      </c>
      <c r="D26" s="42" t="s">
        <v>38</v>
      </c>
      <c r="E26" s="45" t="s">
        <v>60</v>
      </c>
      <c r="F26" s="46" t="s">
        <v>39</v>
      </c>
      <c r="G26" s="47" t="s">
        <v>50</v>
      </c>
      <c r="H26" s="48">
        <v>1</v>
      </c>
      <c r="I26" s="46" t="s">
        <v>39</v>
      </c>
      <c r="J26" s="49">
        <v>0</v>
      </c>
      <c r="K26" s="57">
        <f>IF(OR(Resultat!H26="",H26="",Resultat!J26="",J26=""),"",IF((H26=Resultat!H26)*(J26=Resultat!J26),Resultat!$AA$3+Resultat!$AA$4,IF(((H26-J26)&gt;0)*((Resultat!H26-Resultat!J26)&gt;0),Resultat!$AA$3,IF(((H26-J26)&lt;0)*((Resultat!H26-Resultat!J26)&lt;0),Resultat!$AA$3,IF(((H26-J26)=0)*((Resultat!H26-Resultat!J26)=0),Resultat!$AA$3,0)))))</f>
        <v>2</v>
      </c>
      <c r="L26" s="69">
        <f t="shared" si="0"/>
        <v>1</v>
      </c>
    </row>
    <row r="27" spans="1:16" x14ac:dyDescent="0.15">
      <c r="A27" s="42">
        <v>15</v>
      </c>
      <c r="B27" s="43">
        <v>42536</v>
      </c>
      <c r="C27" s="44" t="s">
        <v>42</v>
      </c>
      <c r="D27" s="42" t="s">
        <v>38</v>
      </c>
      <c r="E27" s="45" t="s">
        <v>51</v>
      </c>
      <c r="F27" s="46" t="s">
        <v>39</v>
      </c>
      <c r="G27" s="47" t="s">
        <v>61</v>
      </c>
      <c r="H27" s="48">
        <v>1</v>
      </c>
      <c r="I27" s="46" t="s">
        <v>39</v>
      </c>
      <c r="J27" s="49">
        <v>0</v>
      </c>
      <c r="K27" s="57">
        <f>IF(OR(Resultat!H27="",H27="",Resultat!J27="",J27=""),"",IF((H27=Resultat!H27)*(J27=Resultat!J27),Resultat!$AA$3+Resultat!$AA$4,IF(((H27-J27)&gt;0)*((Resultat!H27-Resultat!J27)&gt;0),Resultat!$AA$3,IF(((H27-J27)&lt;0)*((Resultat!H27-Resultat!J27)&lt;0),Resultat!$AA$3,IF(((H27-J27)=0)*((Resultat!H27-Resultat!J27)=0),Resultat!$AA$3,0)))))</f>
        <v>2</v>
      </c>
      <c r="L27" s="69">
        <f t="shared" si="0"/>
        <v>1</v>
      </c>
    </row>
    <row r="28" spans="1:16" x14ac:dyDescent="0.15">
      <c r="A28" s="42">
        <v>16</v>
      </c>
      <c r="B28" s="43">
        <v>42537</v>
      </c>
      <c r="C28" s="44" t="s">
        <v>59</v>
      </c>
      <c r="D28" s="42" t="s">
        <v>43</v>
      </c>
      <c r="E28" s="45" t="s">
        <v>47</v>
      </c>
      <c r="F28" s="46" t="s">
        <v>39</v>
      </c>
      <c r="G28" s="47" t="s">
        <v>62</v>
      </c>
      <c r="H28" s="48">
        <v>1</v>
      </c>
      <c r="I28" s="46" t="s">
        <v>39</v>
      </c>
      <c r="J28" s="49">
        <v>0</v>
      </c>
      <c r="K28" s="57">
        <f>IF(OR(Resultat!H28="",H28="",Resultat!J28="",J28=""),"",IF((H28=Resultat!H28)*(J28=Resultat!J28),Resultat!$AA$3+Resultat!$AA$4,IF(((H28-J28)&gt;0)*((Resultat!H28-Resultat!J28)&gt;0),Resultat!$AA$3,IF(((H28-J28)&lt;0)*((Resultat!H28-Resultat!J28)&lt;0),Resultat!$AA$3,IF(((H28-J28)=0)*((Resultat!H28-Resultat!J28)=0),Resultat!$AA$3,0)))))</f>
        <v>3</v>
      </c>
      <c r="L28" s="69">
        <f t="shared" si="0"/>
        <v>1</v>
      </c>
    </row>
    <row r="29" spans="1:16" x14ac:dyDescent="0.15">
      <c r="A29" s="42">
        <v>17</v>
      </c>
      <c r="B29" s="43">
        <v>42537</v>
      </c>
      <c r="C29" s="44" t="s">
        <v>41</v>
      </c>
      <c r="D29" s="42" t="s">
        <v>45</v>
      </c>
      <c r="E29" s="45" t="s">
        <v>67</v>
      </c>
      <c r="F29" s="46" t="s">
        <v>39</v>
      </c>
      <c r="G29" s="47" t="s">
        <v>66</v>
      </c>
      <c r="H29" s="48">
        <v>1</v>
      </c>
      <c r="I29" s="46" t="s">
        <v>39</v>
      </c>
      <c r="J29" s="49">
        <v>0</v>
      </c>
      <c r="K29" s="57">
        <f>IF(OR(Resultat!H29="",H29="",Resultat!J29="",J29=""),"",IF((H29=Resultat!H29)*(J29=Resultat!J29),Resultat!$AA$3+Resultat!$AA$4,IF(((H29-J29)&gt;0)*((Resultat!H29-Resultat!J29)&gt;0),Resultat!$AA$3,IF(((H29-J29)&lt;0)*((Resultat!H29-Resultat!J29)&lt;0),Resultat!$AA$3,IF(((H29-J29)=0)*((Resultat!H29-Resultat!J29)=0),Resultat!$AA$3,0)))))</f>
        <v>0</v>
      </c>
      <c r="L29" s="69">
        <f t="shared" si="0"/>
        <v>1</v>
      </c>
    </row>
    <row r="30" spans="1:16" x14ac:dyDescent="0.15">
      <c r="A30" s="42">
        <v>18</v>
      </c>
      <c r="B30" s="43">
        <v>42537</v>
      </c>
      <c r="C30" s="44" t="s">
        <v>42</v>
      </c>
      <c r="D30" s="42" t="s">
        <v>45</v>
      </c>
      <c r="E30" s="45" t="s">
        <v>53</v>
      </c>
      <c r="F30" s="46" t="s">
        <v>39</v>
      </c>
      <c r="G30" s="47" t="s">
        <v>65</v>
      </c>
      <c r="H30" s="48">
        <v>1</v>
      </c>
      <c r="I30" s="46" t="s">
        <v>39</v>
      </c>
      <c r="J30" s="49">
        <v>0</v>
      </c>
      <c r="K30" s="57">
        <f>IF(OR(Resultat!H30="",H30="",Resultat!J30="",J30=""),"",IF((H30=Resultat!H30)*(J30=Resultat!J30),Resultat!$AA$3+Resultat!$AA$4,IF(((H30-J30)&gt;0)*((Resultat!H30-Resultat!J30)&gt;0),Resultat!$AA$3,IF(((H30-J30)&lt;0)*((Resultat!H30-Resultat!J30)&lt;0),Resultat!$AA$3,IF(((H30-J30)=0)*((Resultat!H30-Resultat!J30)=0),Resultat!$AA$3,0)))))</f>
        <v>0</v>
      </c>
      <c r="L30" s="69">
        <f t="shared" si="0"/>
        <v>1</v>
      </c>
    </row>
    <row r="31" spans="1:16" x14ac:dyDescent="0.15">
      <c r="A31" s="42">
        <v>19</v>
      </c>
      <c r="B31" s="43">
        <v>42538</v>
      </c>
      <c r="C31" s="44" t="s">
        <v>59</v>
      </c>
      <c r="D31" s="42" t="s">
        <v>49</v>
      </c>
      <c r="E31" s="45" t="s">
        <v>48</v>
      </c>
      <c r="F31" s="46" t="s">
        <v>39</v>
      </c>
      <c r="G31" s="47" t="s">
        <v>70</v>
      </c>
      <c r="H31" s="48">
        <v>1</v>
      </c>
      <c r="I31" s="46" t="s">
        <v>39</v>
      </c>
      <c r="J31" s="49">
        <v>0</v>
      </c>
      <c r="K31" s="57">
        <f>IF(OR(Resultat!H31="",H31="",Resultat!J31="",J31=""),"",IF((H31=Resultat!H31)*(J31=Resultat!J31),Resultat!$AA$3+Resultat!$AA$4,IF(((H31-J31)&gt;0)*((Resultat!H31-Resultat!J31)&gt;0),Resultat!$AA$3,IF(((H31-J31)&lt;0)*((Resultat!H31-Resultat!J31)&lt;0),Resultat!$AA$3,IF(((H31-J31)=0)*((Resultat!H31-Resultat!J31)=0),Resultat!$AA$3,0)))))</f>
        <v>0</v>
      </c>
      <c r="L31" s="69">
        <f t="shared" si="0"/>
        <v>1</v>
      </c>
    </row>
    <row r="32" spans="1:16" x14ac:dyDescent="0.15">
      <c r="A32" s="42">
        <v>20</v>
      </c>
      <c r="B32" s="43">
        <v>42538</v>
      </c>
      <c r="C32" s="50" t="s">
        <v>41</v>
      </c>
      <c r="D32" s="42" t="s">
        <v>46</v>
      </c>
      <c r="E32" s="45" t="s">
        <v>68</v>
      </c>
      <c r="F32" s="46" t="s">
        <v>39</v>
      </c>
      <c r="G32" s="47" t="s">
        <v>40</v>
      </c>
      <c r="H32" s="48">
        <v>1</v>
      </c>
      <c r="I32" s="46" t="s">
        <v>39</v>
      </c>
      <c r="J32" s="49">
        <v>0</v>
      </c>
      <c r="K32" s="57">
        <f>IF(OR(Resultat!H32="",H32="",Resultat!J32="",J32=""),"",IF((H32=Resultat!H32)*(J32=Resultat!J32),Resultat!$AA$3+Resultat!$AA$4,IF(((H32-J32)&gt;0)*((Resultat!H32-Resultat!J32)&gt;0),Resultat!$AA$3,IF(((H32-J32)&lt;0)*((Resultat!H32-Resultat!J32)&lt;0),Resultat!$AA$3,IF(((H32-J32)=0)*((Resultat!H32-Resultat!J32)=0),Resultat!$AA$3,0)))))</f>
        <v>0</v>
      </c>
      <c r="L32" s="69">
        <f t="shared" si="0"/>
        <v>1</v>
      </c>
    </row>
    <row r="33" spans="1:12" x14ac:dyDescent="0.15">
      <c r="A33" s="42">
        <v>21</v>
      </c>
      <c r="B33" s="43">
        <v>42538</v>
      </c>
      <c r="C33" s="44" t="s">
        <v>42</v>
      </c>
      <c r="D33" s="42" t="s">
        <v>46</v>
      </c>
      <c r="E33" s="45" t="s">
        <v>44</v>
      </c>
      <c r="F33" s="46" t="s">
        <v>39</v>
      </c>
      <c r="G33" s="47" t="s">
        <v>64</v>
      </c>
      <c r="H33" s="48">
        <v>1</v>
      </c>
      <c r="I33" s="46" t="s">
        <v>39</v>
      </c>
      <c r="J33" s="49">
        <v>0</v>
      </c>
      <c r="K33" s="57">
        <f>IF(OR(Resultat!H33="",H33="",Resultat!J33="",J33=""),"",IF((H33=Resultat!H33)*(J33=Resultat!J33),Resultat!$AA$3+Resultat!$AA$4,IF(((H33-J33)&gt;0)*((Resultat!H33-Resultat!J33)&gt;0),Resultat!$AA$3,IF(((H33-J33)&lt;0)*((Resultat!H33-Resultat!J33)&lt;0),Resultat!$AA$3,IF(((H33-J33)=0)*((Resultat!H33-Resultat!J33)=0),Resultat!$AA$3,0)))))</f>
        <v>0</v>
      </c>
      <c r="L33" s="69">
        <f t="shared" si="0"/>
        <v>1</v>
      </c>
    </row>
    <row r="34" spans="1:12" x14ac:dyDescent="0.15">
      <c r="A34" s="42">
        <v>22</v>
      </c>
      <c r="B34" s="43">
        <v>42539</v>
      </c>
      <c r="C34" s="44" t="s">
        <v>59</v>
      </c>
      <c r="D34" s="42" t="s">
        <v>49</v>
      </c>
      <c r="E34" s="45" t="s">
        <v>55</v>
      </c>
      <c r="F34" s="46" t="s">
        <v>39</v>
      </c>
      <c r="G34" s="47" t="s">
        <v>69</v>
      </c>
      <c r="H34" s="48">
        <v>1</v>
      </c>
      <c r="I34" s="46" t="s">
        <v>39</v>
      </c>
      <c r="J34" s="49">
        <v>0</v>
      </c>
      <c r="K34" s="57">
        <f>IF(OR(Resultat!H34="",H34="",Resultat!J34="",J34=""),"",IF((H34=Resultat!H34)*(J34=Resultat!J34),Resultat!$AA$3+Resultat!$AA$4,IF(((H34-J34)&gt;0)*((Resultat!H34-Resultat!J34)&gt;0),Resultat!$AA$3,IF(((H34-J34)&lt;0)*((Resultat!H34-Resultat!J34)&lt;0),Resultat!$AA$3,IF(((H34-J34)=0)*((Resultat!H34-Resultat!J34)=0),Resultat!$AA$3,0)))))</f>
        <v>0</v>
      </c>
      <c r="L34" s="69">
        <f t="shared" si="0"/>
        <v>1</v>
      </c>
    </row>
    <row r="35" spans="1:12" x14ac:dyDescent="0.15">
      <c r="A35" s="42">
        <v>23</v>
      </c>
      <c r="B35" s="43">
        <v>42539</v>
      </c>
      <c r="C35" s="44" t="s">
        <v>41</v>
      </c>
      <c r="D35" s="42" t="s">
        <v>52</v>
      </c>
      <c r="E35" s="45" t="s">
        <v>73</v>
      </c>
      <c r="F35" s="46" t="s">
        <v>39</v>
      </c>
      <c r="G35" s="47" t="s">
        <v>72</v>
      </c>
      <c r="H35" s="48">
        <v>1</v>
      </c>
      <c r="I35" s="46" t="s">
        <v>39</v>
      </c>
      <c r="J35" s="49">
        <v>0</v>
      </c>
      <c r="K35" s="57">
        <f>IF(OR(Resultat!H35="",H35="",Resultat!J35="",J35=""),"",IF((H35=Resultat!H35)*(J35=Resultat!J35),Resultat!$AA$3+Resultat!$AA$4,IF(((H35-J35)&gt;0)*((Resultat!H35-Resultat!J35)&gt;0),Resultat!$AA$3,IF(((H35-J35)&lt;0)*((Resultat!H35-Resultat!J35)&lt;0),Resultat!$AA$3,IF(((H35-J35)=0)*((Resultat!H35-Resultat!J35)=0),Resultat!$AA$3,0)))))</f>
        <v>0</v>
      </c>
      <c r="L35" s="69">
        <f t="shared" si="0"/>
        <v>1</v>
      </c>
    </row>
    <row r="36" spans="1:12" x14ac:dyDescent="0.15">
      <c r="A36" s="42">
        <v>24</v>
      </c>
      <c r="B36" s="43">
        <v>42539</v>
      </c>
      <c r="C36" s="44" t="s">
        <v>42</v>
      </c>
      <c r="D36" s="42" t="s">
        <v>52</v>
      </c>
      <c r="E36" s="45" t="s">
        <v>54</v>
      </c>
      <c r="F36" s="46" t="s">
        <v>39</v>
      </c>
      <c r="G36" s="47" t="s">
        <v>71</v>
      </c>
      <c r="H36" s="48">
        <v>1</v>
      </c>
      <c r="I36" s="46" t="s">
        <v>39</v>
      </c>
      <c r="J36" s="49">
        <v>0</v>
      </c>
      <c r="K36" s="57">
        <f>IF(OR(Resultat!H36="",H36="",Resultat!J36="",J36=""),"",IF((H36=Resultat!H36)*(J36=Resultat!J36),Resultat!$AA$3+Resultat!$AA$4,IF(((H36-J36)&gt;0)*((Resultat!H36-Resultat!J36)&gt;0),Resultat!$AA$3,IF(((H36-J36)&lt;0)*((Resultat!H36-Resultat!J36)&lt;0),Resultat!$AA$3,IF(((H36-J36)=0)*((Resultat!H36-Resultat!J36)=0),Resultat!$AA$3,0)))))</f>
        <v>0</v>
      </c>
      <c r="L36" s="69">
        <f t="shared" si="0"/>
        <v>1</v>
      </c>
    </row>
    <row r="37" spans="1:12" x14ac:dyDescent="0.15">
      <c r="A37" s="42">
        <v>25</v>
      </c>
      <c r="B37" s="43">
        <v>42540</v>
      </c>
      <c r="C37" s="44" t="s">
        <v>42</v>
      </c>
      <c r="D37" s="42" t="s">
        <v>38</v>
      </c>
      <c r="E37" s="45" t="s">
        <v>50</v>
      </c>
      <c r="F37" s="46" t="s">
        <v>39</v>
      </c>
      <c r="G37" s="47" t="s">
        <v>51</v>
      </c>
      <c r="H37" s="48">
        <v>1</v>
      </c>
      <c r="I37" s="46" t="s">
        <v>39</v>
      </c>
      <c r="J37" s="49">
        <v>0</v>
      </c>
      <c r="K37" s="57">
        <f>IF(OR(Resultat!H37="",H37="",Resultat!J37="",J37=""),"",IF((H37=Resultat!H37)*(J37=Resultat!J37),Resultat!$AA$3+Resultat!$AA$4,IF(((H37-J37)&gt;0)*((Resultat!H37-Resultat!J37)&gt;0),Resultat!$AA$3,IF(((H37-J37)&lt;0)*((Resultat!H37-Resultat!J37)&lt;0),Resultat!$AA$3,IF(((H37-J37)=0)*((Resultat!H37-Resultat!J37)=0),Resultat!$AA$3,0)))))</f>
        <v>2</v>
      </c>
      <c r="L37" s="69">
        <f t="shared" si="0"/>
        <v>1</v>
      </c>
    </row>
    <row r="38" spans="1:12" x14ac:dyDescent="0.15">
      <c r="A38" s="42">
        <v>26</v>
      </c>
      <c r="B38" s="43">
        <v>42540</v>
      </c>
      <c r="C38" s="44" t="s">
        <v>42</v>
      </c>
      <c r="D38" s="42" t="s">
        <v>38</v>
      </c>
      <c r="E38" s="45" t="s">
        <v>60</v>
      </c>
      <c r="F38" s="46" t="s">
        <v>39</v>
      </c>
      <c r="G38" s="47" t="s">
        <v>61</v>
      </c>
      <c r="H38" s="48">
        <v>1</v>
      </c>
      <c r="I38" s="46" t="s">
        <v>39</v>
      </c>
      <c r="J38" s="49">
        <v>0</v>
      </c>
      <c r="K38" s="57">
        <f>IF(OR(Resultat!H38="",H38="",Resultat!J38="",J38=""),"",IF((H38=Resultat!H38)*(J38=Resultat!J38),Resultat!$AA$3+Resultat!$AA$4,IF(((H38-J38)&gt;0)*((Resultat!H38-Resultat!J38)&gt;0),Resultat!$AA$3,IF(((H38-J38)&lt;0)*((Resultat!H38-Resultat!J38)&lt;0),Resultat!$AA$3,IF(((H38-J38)=0)*((Resultat!H38-Resultat!J38)=0),Resultat!$AA$3,0)))))</f>
        <v>2</v>
      </c>
      <c r="L38" s="69">
        <f t="shared" si="0"/>
        <v>1</v>
      </c>
    </row>
    <row r="39" spans="1:12" x14ac:dyDescent="0.15">
      <c r="A39" s="42">
        <v>27</v>
      </c>
      <c r="B39" s="43">
        <v>42541</v>
      </c>
      <c r="C39" s="44" t="s">
        <v>42</v>
      </c>
      <c r="D39" s="42" t="s">
        <v>43</v>
      </c>
      <c r="E39" s="45" t="s">
        <v>63</v>
      </c>
      <c r="F39" s="46" t="s">
        <v>39</v>
      </c>
      <c r="G39" s="47" t="s">
        <v>47</v>
      </c>
      <c r="H39" s="48">
        <v>1</v>
      </c>
      <c r="I39" s="46" t="s">
        <v>39</v>
      </c>
      <c r="J39" s="49">
        <v>0</v>
      </c>
      <c r="K39" s="57">
        <f>IF(OR(Resultat!H39="",H39="",Resultat!J39="",J39=""),"",IF((H39=Resultat!H39)*(J39=Resultat!J39),Resultat!$AA$3+Resultat!$AA$4,IF(((H39-J39)&gt;0)*((Resultat!H39-Resultat!J39)&gt;0),Resultat!$AA$3,IF(((H39-J39)&lt;0)*((Resultat!H39-Resultat!J39)&lt;0),Resultat!$AA$3,IF(((H39-J39)=0)*((Resultat!H39-Resultat!J39)=0),Resultat!$AA$3,0)))))</f>
        <v>3</v>
      </c>
      <c r="L39" s="69">
        <f t="shared" si="0"/>
        <v>1</v>
      </c>
    </row>
    <row r="40" spans="1:12" x14ac:dyDescent="0.15">
      <c r="A40" s="42">
        <v>28</v>
      </c>
      <c r="B40" s="43">
        <v>42541</v>
      </c>
      <c r="C40" s="44" t="s">
        <v>42</v>
      </c>
      <c r="D40" s="42" t="s">
        <v>43</v>
      </c>
      <c r="E40" s="45" t="s">
        <v>56</v>
      </c>
      <c r="F40" s="46" t="s">
        <v>39</v>
      </c>
      <c r="G40" s="47" t="s">
        <v>62</v>
      </c>
      <c r="H40" s="48">
        <v>1</v>
      </c>
      <c r="I40" s="46" t="s">
        <v>39</v>
      </c>
      <c r="J40" s="49">
        <v>0</v>
      </c>
      <c r="K40" s="57">
        <f>IF(OR(Resultat!H40="",H40="",Resultat!J40="",J40=""),"",IF((H40=Resultat!H40)*(J40=Resultat!J40),Resultat!$AA$3+Resultat!$AA$4,IF(((H40-J40)&gt;0)*((Resultat!H40-Resultat!J40)&gt;0),Resultat!$AA$3,IF(((H40-J40)&lt;0)*((Resultat!H40-Resultat!J40)&lt;0),Resultat!$AA$3,IF(((H40-J40)=0)*((Resultat!H40-Resultat!J40)=0),Resultat!$AA$3,0)))))</f>
        <v>0</v>
      </c>
      <c r="L40" s="69">
        <f t="shared" si="0"/>
        <v>1</v>
      </c>
    </row>
    <row r="41" spans="1:12" x14ac:dyDescent="0.15">
      <c r="A41" s="42">
        <v>29</v>
      </c>
      <c r="B41" s="43">
        <v>42542</v>
      </c>
      <c r="C41" s="44" t="s">
        <v>41</v>
      </c>
      <c r="D41" s="42" t="s">
        <v>45</v>
      </c>
      <c r="E41" s="45" t="s">
        <v>66</v>
      </c>
      <c r="F41" s="46" t="s">
        <v>39</v>
      </c>
      <c r="G41" s="47" t="s">
        <v>53</v>
      </c>
      <c r="H41" s="48">
        <v>1</v>
      </c>
      <c r="I41" s="46" t="s">
        <v>39</v>
      </c>
      <c r="J41" s="49">
        <v>0</v>
      </c>
      <c r="K41" s="57">
        <f>IF(OR(Resultat!H41="",H41="",Resultat!J41="",J41=""),"",IF((H41=Resultat!H41)*(J41=Resultat!J41),Resultat!$AA$3+Resultat!$AA$4,IF(((H41-J41)&gt;0)*((Resultat!H41-Resultat!J41)&gt;0),Resultat!$AA$3,IF(((H41-J41)&lt;0)*((Resultat!H41-Resultat!J41)&lt;0),Resultat!$AA$3,IF(((H41-J41)=0)*((Resultat!H41-Resultat!J41)=0),Resultat!$AA$3,0)))))</f>
        <v>3</v>
      </c>
      <c r="L41" s="69">
        <f t="shared" si="0"/>
        <v>1</v>
      </c>
    </row>
    <row r="42" spans="1:12" x14ac:dyDescent="0.15">
      <c r="A42" s="42">
        <v>30</v>
      </c>
      <c r="B42" s="43">
        <v>42542</v>
      </c>
      <c r="C42" s="44" t="s">
        <v>41</v>
      </c>
      <c r="D42" s="42" t="s">
        <v>45</v>
      </c>
      <c r="E42" s="45" t="s">
        <v>67</v>
      </c>
      <c r="F42" s="46" t="s">
        <v>39</v>
      </c>
      <c r="G42" s="47" t="s">
        <v>65</v>
      </c>
      <c r="H42" s="48">
        <v>1</v>
      </c>
      <c r="I42" s="46" t="s">
        <v>39</v>
      </c>
      <c r="J42" s="49">
        <v>0</v>
      </c>
      <c r="K42" s="57">
        <f>IF(OR(Resultat!H42="",H42="",Resultat!J42="",J42=""),"",IF((H42=Resultat!H42)*(J42=Resultat!J42),Resultat!$AA$3+Resultat!$AA$4,IF(((H42-J42)&gt;0)*((Resultat!H42-Resultat!J42)&gt;0),Resultat!$AA$3,IF(((H42-J42)&lt;0)*((Resultat!H42-Resultat!J42)&lt;0),Resultat!$AA$3,IF(((H42-J42)=0)*((Resultat!H42-Resultat!J42)=0),Resultat!$AA$3,0)))))</f>
        <v>0</v>
      </c>
      <c r="L42" s="69">
        <f t="shared" si="0"/>
        <v>1</v>
      </c>
    </row>
    <row r="43" spans="1:12" x14ac:dyDescent="0.15">
      <c r="A43" s="42">
        <v>31</v>
      </c>
      <c r="B43" s="43">
        <v>42542</v>
      </c>
      <c r="C43" s="44" t="s">
        <v>42</v>
      </c>
      <c r="D43" s="42" t="s">
        <v>46</v>
      </c>
      <c r="E43" s="45" t="s">
        <v>40</v>
      </c>
      <c r="F43" s="46" t="s">
        <v>39</v>
      </c>
      <c r="G43" s="47" t="s">
        <v>44</v>
      </c>
      <c r="H43" s="48">
        <v>1</v>
      </c>
      <c r="I43" s="46" t="s">
        <v>39</v>
      </c>
      <c r="J43" s="49">
        <v>0</v>
      </c>
      <c r="K43" s="57">
        <f>IF(OR(Resultat!H43="",H43="",Resultat!J43="",J43=""),"",IF((H43=Resultat!H43)*(J43=Resultat!J43),Resultat!$AA$3+Resultat!$AA$4,IF(((H43-J43)&gt;0)*((Resultat!H43-Resultat!J43)&gt;0),Resultat!$AA$3,IF(((H43-J43)&lt;0)*((Resultat!H43-Resultat!J43)&lt;0),Resultat!$AA$3,IF(((H43-J43)=0)*((Resultat!H43-Resultat!J43)=0),Resultat!$AA$3,0)))))</f>
        <v>0</v>
      </c>
      <c r="L43" s="69">
        <f t="shared" si="0"/>
        <v>1</v>
      </c>
    </row>
    <row r="44" spans="1:12" x14ac:dyDescent="0.15">
      <c r="A44" s="42">
        <v>32</v>
      </c>
      <c r="B44" s="43">
        <v>42542</v>
      </c>
      <c r="C44" s="44" t="s">
        <v>42</v>
      </c>
      <c r="D44" s="42" t="s">
        <v>46</v>
      </c>
      <c r="E44" s="45" t="s">
        <v>68</v>
      </c>
      <c r="F44" s="46" t="s">
        <v>39</v>
      </c>
      <c r="G44" s="47" t="s">
        <v>64</v>
      </c>
      <c r="H44" s="48">
        <v>1</v>
      </c>
      <c r="I44" s="46" t="s">
        <v>39</v>
      </c>
      <c r="J44" s="49">
        <v>0</v>
      </c>
      <c r="K44" s="57" t="str">
        <f>IF(OR(Resultat!H44="",H44="",Resultat!J44="",J44=""),"",IF((H44=Resultat!H44)*(J44=Resultat!J44),Resultat!$AA$3+Resultat!$AA$4,IF(((H44-J44)&gt;0)*((Resultat!H44-Resultat!J44)&gt;0),Resultat!$AA$3,IF(((H44-J44)&lt;0)*((Resultat!H44-Resultat!J44)&lt;0),Resultat!$AA$3,IF(((H44-J44)=0)*((Resultat!H44-Resultat!J44)=0),Resultat!$AA$3,0)))))</f>
        <v/>
      </c>
      <c r="L44" s="69">
        <f t="shared" si="0"/>
        <v>1</v>
      </c>
    </row>
    <row r="45" spans="1:12" x14ac:dyDescent="0.15">
      <c r="A45" s="42">
        <v>33</v>
      </c>
      <c r="B45" s="43">
        <v>42543</v>
      </c>
      <c r="C45" s="44" t="s">
        <v>41</v>
      </c>
      <c r="D45" s="42" t="s">
        <v>52</v>
      </c>
      <c r="E45" s="45" t="s">
        <v>72</v>
      </c>
      <c r="F45" s="46" t="s">
        <v>39</v>
      </c>
      <c r="G45" s="47" t="s">
        <v>54</v>
      </c>
      <c r="H45" s="48">
        <v>1</v>
      </c>
      <c r="I45" s="46" t="s">
        <v>39</v>
      </c>
      <c r="J45" s="49">
        <v>0</v>
      </c>
      <c r="K45" s="57" t="str">
        <f>IF(OR(Resultat!H45="",H45="",Resultat!J45="",J45=""),"",IF((H45=Resultat!H45)*(J45=Resultat!J45),Resultat!$AA$3+Resultat!$AA$4,IF(((H45-J45)&gt;0)*((Resultat!H45-Resultat!J45)&gt;0),Resultat!$AA$3,IF(((H45-J45)&lt;0)*((Resultat!H45-Resultat!J45)&lt;0),Resultat!$AA$3,IF(((H45-J45)=0)*((Resultat!H45-Resultat!J45)=0),Resultat!$AA$3,0)))))</f>
        <v/>
      </c>
      <c r="L45" s="69">
        <f t="shared" si="0"/>
        <v>1</v>
      </c>
    </row>
    <row r="46" spans="1:12" x14ac:dyDescent="0.15">
      <c r="A46" s="42">
        <v>34</v>
      </c>
      <c r="B46" s="43">
        <v>42543</v>
      </c>
      <c r="C46" s="44" t="s">
        <v>41</v>
      </c>
      <c r="D46" s="42" t="s">
        <v>52</v>
      </c>
      <c r="E46" s="45" t="s">
        <v>73</v>
      </c>
      <c r="F46" s="46" t="s">
        <v>39</v>
      </c>
      <c r="G46" s="47" t="s">
        <v>71</v>
      </c>
      <c r="H46" s="48">
        <v>1</v>
      </c>
      <c r="I46" s="46" t="s">
        <v>39</v>
      </c>
      <c r="J46" s="49">
        <v>0</v>
      </c>
      <c r="K46" s="57" t="str">
        <f>IF(OR(Resultat!H46="",H46="",Resultat!J46="",J46=""),"",IF((H46=Resultat!H46)*(J46=Resultat!J46),Resultat!$AA$3+Resultat!$AA$4,IF(((H46-J46)&gt;0)*((Resultat!H46-Resultat!J46)&gt;0),Resultat!$AA$3,IF(((H46-J46)&lt;0)*((Resultat!H46-Resultat!J46)&lt;0),Resultat!$AA$3,IF(((H46-J46)=0)*((Resultat!H46-Resultat!J46)=0),Resultat!$AA$3,0)))))</f>
        <v/>
      </c>
      <c r="L46" s="69">
        <f t="shared" si="0"/>
        <v>1</v>
      </c>
    </row>
    <row r="47" spans="1:12" x14ac:dyDescent="0.15">
      <c r="A47" s="42">
        <v>35</v>
      </c>
      <c r="B47" s="43">
        <v>42543</v>
      </c>
      <c r="C47" s="44" t="s">
        <v>42</v>
      </c>
      <c r="D47" s="42" t="s">
        <v>49</v>
      </c>
      <c r="E47" s="45" t="s">
        <v>70</v>
      </c>
      <c r="F47" s="46" t="s">
        <v>39</v>
      </c>
      <c r="G47" s="47" t="s">
        <v>55</v>
      </c>
      <c r="H47" s="48">
        <v>1</v>
      </c>
      <c r="I47" s="46" t="s">
        <v>39</v>
      </c>
      <c r="J47" s="49">
        <v>0</v>
      </c>
      <c r="K47" s="57" t="str">
        <f>IF(OR(Resultat!H47="",H47="",Resultat!J47="",J47=""),"",IF((H47=Resultat!H47)*(J47=Resultat!J47),Resultat!$AA$3+Resultat!$AA$4,IF(((H47-J47)&gt;0)*((Resultat!H47-Resultat!J47)&gt;0),Resultat!$AA$3,IF(((H47-J47)&lt;0)*((Resultat!H47-Resultat!J47)&lt;0),Resultat!$AA$3,IF(((H47-J47)=0)*((Resultat!H47-Resultat!J47)=0),Resultat!$AA$3,0)))))</f>
        <v/>
      </c>
      <c r="L47" s="69">
        <f t="shared" si="0"/>
        <v>1</v>
      </c>
    </row>
    <row r="48" spans="1:12" ht="14" thickBot="1" x14ac:dyDescent="0.2">
      <c r="A48" s="77">
        <v>36</v>
      </c>
      <c r="B48" s="78">
        <v>42543</v>
      </c>
      <c r="C48" s="79" t="s">
        <v>42</v>
      </c>
      <c r="D48" s="77" t="s">
        <v>49</v>
      </c>
      <c r="E48" s="80" t="s">
        <v>48</v>
      </c>
      <c r="F48" s="81" t="s">
        <v>39</v>
      </c>
      <c r="G48" s="82" t="s">
        <v>69</v>
      </c>
      <c r="H48" s="83">
        <v>1</v>
      </c>
      <c r="I48" s="81" t="s">
        <v>39</v>
      </c>
      <c r="J48" s="84">
        <v>0</v>
      </c>
      <c r="K48" s="85" t="str">
        <f>IF(OR(Resultat!H48="",H48="",Resultat!J48="",J48=""),"",IF((H48=Resultat!H48)*(J48=Resultat!J48),Resultat!$AA$3+Resultat!$AA$4,IF(((H48-J48)&gt;0)*((Resultat!H48-Resultat!J48)&gt;0),Resultat!$AA$3,IF(((H48-J48)&lt;0)*((Resultat!H48-Resultat!J48)&lt;0),Resultat!$AA$3,IF(((H48-J48)=0)*((Resultat!H48-Resultat!J48)=0),Resultat!$AA$3,0)))))</f>
        <v/>
      </c>
      <c r="L48" s="69">
        <f t="shared" si="0"/>
        <v>1</v>
      </c>
    </row>
    <row r="49" spans="1:12" x14ac:dyDescent="0.15">
      <c r="A49" s="42">
        <v>37</v>
      </c>
      <c r="B49" s="43">
        <v>42546</v>
      </c>
      <c r="C49" s="44" t="s">
        <v>41</v>
      </c>
      <c r="D49" s="70">
        <v>0.125</v>
      </c>
      <c r="E49" s="45"/>
      <c r="F49" s="46" t="s">
        <v>39</v>
      </c>
      <c r="G49" s="47"/>
      <c r="H49" s="48"/>
      <c r="I49" s="46" t="s">
        <v>39</v>
      </c>
      <c r="J49" s="49"/>
      <c r="K49" s="57" t="str">
        <f>IF(OR(Resultat!H49="",H49="",Resultat!J49="",J49=""),"",IF((H49=Resultat!H49)*(J49=Resultat!J49),Resultat!$M$4+Resultat!$AA$4,IF(((H49-J49)&gt;0)*((Resultat!H49-Resultat!J49)&gt;0),Resultat!$M$4,IF(((H49-J49)&lt;0)*((Resultat!H49-Resultat!J49)&lt;0),Resultat!$M$4,IF(((H49-J49)=0)*((Resultat!H49-Resultat!J49)=0),Resultat!$M$4,0)))))</f>
        <v/>
      </c>
      <c r="L49" s="69" t="str">
        <f t="shared" si="0"/>
        <v>x</v>
      </c>
    </row>
    <row r="50" spans="1:12" x14ac:dyDescent="0.15">
      <c r="A50" s="42">
        <v>38</v>
      </c>
      <c r="B50" s="43">
        <v>42546</v>
      </c>
      <c r="C50" s="44" t="s">
        <v>37</v>
      </c>
      <c r="D50" s="70">
        <v>0.125</v>
      </c>
      <c r="E50" s="45"/>
      <c r="F50" s="46" t="s">
        <v>39</v>
      </c>
      <c r="G50" s="47"/>
      <c r="H50" s="48"/>
      <c r="I50" s="46" t="s">
        <v>39</v>
      </c>
      <c r="J50" s="49"/>
      <c r="K50" s="57" t="str">
        <f>IF(OR(Resultat!H50="",H50="",Resultat!J50="",J50=""),"",IF((H50=Resultat!H50)*(J50=Resultat!J50),Resultat!$M$4+Resultat!$AA$4,IF(((H50-J50)&gt;0)*((Resultat!H50-Resultat!J50)&gt;0),Resultat!$M$4,IF(((H50-J50)&lt;0)*((Resultat!H50-Resultat!J50)&lt;0),Resultat!$M$4,IF(((H50-J50)=0)*((Resultat!H50-Resultat!J50)=0),Resultat!$M$4,0)))))</f>
        <v/>
      </c>
      <c r="L50" s="69" t="str">
        <f t="shared" si="0"/>
        <v>x</v>
      </c>
    </row>
    <row r="51" spans="1:12" x14ac:dyDescent="0.15">
      <c r="A51" s="42">
        <v>39</v>
      </c>
      <c r="B51" s="43">
        <v>42546</v>
      </c>
      <c r="C51" s="44" t="s">
        <v>41</v>
      </c>
      <c r="D51" s="70">
        <v>0.125</v>
      </c>
      <c r="E51" s="45"/>
      <c r="F51" s="46" t="s">
        <v>39</v>
      </c>
      <c r="G51" s="47"/>
      <c r="H51" s="48"/>
      <c r="I51" s="46" t="s">
        <v>39</v>
      </c>
      <c r="J51" s="49"/>
      <c r="K51" s="57" t="str">
        <f>IF(OR(Resultat!H51="",H51="",Resultat!J51="",J51=""),"",IF((H51=Resultat!H51)*(J51=Resultat!J51),Resultat!$M$4+Resultat!$AA$4,IF(((H51-J51)&gt;0)*((Resultat!H51-Resultat!J51)&gt;0),Resultat!$M$4,IF(((H51-J51)&lt;0)*((Resultat!H51-Resultat!J51)&lt;0),Resultat!$M$4,IF(((H51-J51)=0)*((Resultat!H51-Resultat!J51)=0),Resultat!$M$4,0)))))</f>
        <v/>
      </c>
      <c r="L51" s="69" t="str">
        <f t="shared" si="0"/>
        <v>x</v>
      </c>
    </row>
    <row r="52" spans="1:12" x14ac:dyDescent="0.15">
      <c r="A52" s="42">
        <v>40</v>
      </c>
      <c r="B52" s="43">
        <v>42547</v>
      </c>
      <c r="C52" s="44" t="s">
        <v>37</v>
      </c>
      <c r="D52" s="70">
        <v>0.125</v>
      </c>
      <c r="E52" s="45"/>
      <c r="F52" s="46" t="s">
        <v>39</v>
      </c>
      <c r="G52" s="47"/>
      <c r="H52" s="48"/>
      <c r="I52" s="46" t="s">
        <v>39</v>
      </c>
      <c r="J52" s="49"/>
      <c r="K52" s="57" t="str">
        <f>IF(OR(Resultat!H52="",H52="",Resultat!J52="",J52=""),"",IF((H52=Resultat!H52)*(J52=Resultat!J52),Resultat!$M$4+Resultat!$AA$4,IF(((H52-J52)&gt;0)*((Resultat!H52-Resultat!J52)&gt;0),Resultat!$M$4,IF(((H52-J52)&lt;0)*((Resultat!H52-Resultat!J52)&lt;0),Resultat!$M$4,IF(((H52-J52)=0)*((Resultat!H52-Resultat!J52)=0),Resultat!$M$4,0)))))</f>
        <v/>
      </c>
      <c r="L52" s="69" t="str">
        <f t="shared" si="0"/>
        <v>x</v>
      </c>
    </row>
    <row r="53" spans="1:12" x14ac:dyDescent="0.15">
      <c r="A53" s="42">
        <v>41</v>
      </c>
      <c r="B53" s="43">
        <v>42547</v>
      </c>
      <c r="C53" s="44" t="s">
        <v>41</v>
      </c>
      <c r="D53" s="70">
        <v>0.125</v>
      </c>
      <c r="E53" s="45"/>
      <c r="F53" s="46" t="s">
        <v>39</v>
      </c>
      <c r="G53" s="47"/>
      <c r="H53" s="48"/>
      <c r="I53" s="46" t="s">
        <v>39</v>
      </c>
      <c r="J53" s="49"/>
      <c r="K53" s="57" t="str">
        <f>IF(OR(Resultat!H53="",H53="",Resultat!J53="",J53=""),"",IF((H53=Resultat!H53)*(J53=Resultat!J53),Resultat!$M$4+Resultat!$AA$4,IF(((H53-J53)&gt;0)*((Resultat!H53-Resultat!J53)&gt;0),Resultat!$M$4,IF(((H53-J53)&lt;0)*((Resultat!H53-Resultat!J53)&lt;0),Resultat!$M$4,IF(((H53-J53)=0)*((Resultat!H53-Resultat!J53)=0),Resultat!$M$4,0)))))</f>
        <v/>
      </c>
      <c r="L53" s="69" t="str">
        <f t="shared" si="0"/>
        <v>x</v>
      </c>
    </row>
    <row r="54" spans="1:12" x14ac:dyDescent="0.15">
      <c r="A54" s="42">
        <v>42</v>
      </c>
      <c r="B54" s="43">
        <v>42547</v>
      </c>
      <c r="C54" s="44" t="s">
        <v>37</v>
      </c>
      <c r="D54" s="70">
        <v>0.125</v>
      </c>
      <c r="E54" s="45"/>
      <c r="F54" s="46" t="s">
        <v>39</v>
      </c>
      <c r="G54" s="47"/>
      <c r="H54" s="48"/>
      <c r="I54" s="46" t="s">
        <v>39</v>
      </c>
      <c r="J54" s="49"/>
      <c r="K54" s="57" t="str">
        <f>IF(OR(Resultat!H54="",H54="",Resultat!J54="",J54=""),"",IF((H54=Resultat!H54)*(J54=Resultat!J54),Resultat!$M$4+Resultat!$AA$4,IF(((H54-J54)&gt;0)*((Resultat!H54-Resultat!J54)&gt;0),Resultat!$M$4,IF(((H54-J54)&lt;0)*((Resultat!H54-Resultat!J54)&lt;0),Resultat!$M$4,IF(((H54-J54)=0)*((Resultat!H54-Resultat!J54)=0),Resultat!$M$4,0)))))</f>
        <v/>
      </c>
      <c r="L54" s="69" t="str">
        <f t="shared" si="0"/>
        <v>x</v>
      </c>
    </row>
    <row r="55" spans="1:12" x14ac:dyDescent="0.15">
      <c r="A55" s="42">
        <v>43</v>
      </c>
      <c r="B55" s="43">
        <v>42548</v>
      </c>
      <c r="C55" s="44" t="s">
        <v>41</v>
      </c>
      <c r="D55" s="70">
        <v>0.125</v>
      </c>
      <c r="E55" s="45"/>
      <c r="F55" s="46" t="s">
        <v>39</v>
      </c>
      <c r="G55" s="47"/>
      <c r="H55" s="48"/>
      <c r="I55" s="46" t="s">
        <v>39</v>
      </c>
      <c r="J55" s="49"/>
      <c r="K55" s="57" t="str">
        <f>IF(OR(Resultat!H55="",H55="",Resultat!J55="",J55=""),"",IF((H55=Resultat!H55)*(J55=Resultat!J55),Resultat!$M$4+Resultat!$AA$4,IF(((H55-J55)&gt;0)*((Resultat!H55-Resultat!J55)&gt;0),Resultat!$M$4,IF(((H55-J55)&lt;0)*((Resultat!H55-Resultat!J55)&lt;0),Resultat!$M$4,IF(((H55-J55)=0)*((Resultat!H55-Resultat!J55)=0),Resultat!$M$4,0)))))</f>
        <v/>
      </c>
      <c r="L55" s="69" t="str">
        <f t="shared" si="0"/>
        <v>x</v>
      </c>
    </row>
    <row r="56" spans="1:12" x14ac:dyDescent="0.15">
      <c r="A56" s="42">
        <v>44</v>
      </c>
      <c r="B56" s="43">
        <v>42548</v>
      </c>
      <c r="C56" s="44" t="s">
        <v>37</v>
      </c>
      <c r="D56" s="70">
        <v>0.125</v>
      </c>
      <c r="E56" s="45"/>
      <c r="F56" s="46" t="s">
        <v>39</v>
      </c>
      <c r="G56" s="47"/>
      <c r="H56" s="48"/>
      <c r="I56" s="46" t="s">
        <v>39</v>
      </c>
      <c r="J56" s="49"/>
      <c r="K56" s="57" t="str">
        <f>IF(OR(Resultat!H56="",H56="",Resultat!J56="",J56=""),"",IF((H56=Resultat!H56)*(J56=Resultat!J56),Resultat!$M$4+Resultat!$AA$4,IF(((H56-J56)&gt;0)*((Resultat!H56-Resultat!J56)&gt;0),Resultat!$M$4,IF(((H56-J56)&lt;0)*((Resultat!H56-Resultat!J56)&lt;0),Resultat!$M$4,IF(((H56-J56)=0)*((Resultat!H56-Resultat!J56)=0),Resultat!$M$4,0)))))</f>
        <v/>
      </c>
      <c r="L56" s="69" t="str">
        <f t="shared" si="0"/>
        <v>x</v>
      </c>
    </row>
    <row r="57" spans="1:12" x14ac:dyDescent="0.15">
      <c r="A57" s="42">
        <v>45</v>
      </c>
      <c r="B57" s="43">
        <v>42551</v>
      </c>
      <c r="C57" s="44" t="s">
        <v>37</v>
      </c>
      <c r="D57" s="70">
        <v>0.25</v>
      </c>
      <c r="E57" s="45" t="str">
        <f>IF(J49="","",IF(H49&gt;J49,E49,G49))</f>
        <v/>
      </c>
      <c r="F57" s="46" t="s">
        <v>39</v>
      </c>
      <c r="G57" s="47" t="str">
        <f>IF(J51="","",IF(H51&gt;J51,E51,G51))</f>
        <v/>
      </c>
      <c r="H57" s="48"/>
      <c r="I57" s="46" t="s">
        <v>39</v>
      </c>
      <c r="J57" s="49"/>
      <c r="K57" s="57" t="str">
        <f>IF(OR(Resultat!H57="",H57="",Resultat!J57="",J57=""),"",IF((H57=Resultat!H57)*(J57=Resultat!J57),Resultat!$M$5+Resultat!$AA$4,IF(((H57-J57)&gt;0)*((Resultat!H57-Resultat!J57)&gt;0),Resultat!$M$5,IF(((H57-J57)&lt;0)*((Resultat!H57-Resultat!J57)&lt;0),Resultat!$M$5,IF(((H57-J57)=0)*((Resultat!H57-Resultat!J57)=0),Resultat!$M$5,0)))))</f>
        <v/>
      </c>
      <c r="L57" s="69" t="str">
        <f t="shared" si="0"/>
        <v>x</v>
      </c>
    </row>
    <row r="58" spans="1:12" x14ac:dyDescent="0.15">
      <c r="A58" s="42">
        <v>46</v>
      </c>
      <c r="B58" s="43">
        <v>42552</v>
      </c>
      <c r="C58" s="44" t="s">
        <v>41</v>
      </c>
      <c r="D58" s="70">
        <v>0.25</v>
      </c>
      <c r="E58" s="45" t="str">
        <f>IF(J50="","",IF(H50&gt;J50,E50,G50))</f>
        <v/>
      </c>
      <c r="F58" s="46" t="s">
        <v>39</v>
      </c>
      <c r="G58" s="47" t="str">
        <f>IF(J54="","",IF(H54&gt;J54,E54,G54))</f>
        <v/>
      </c>
      <c r="H58" s="48"/>
      <c r="I58" s="46" t="s">
        <v>39</v>
      </c>
      <c r="J58" s="49"/>
      <c r="K58" s="57" t="str">
        <f>IF(OR(Resultat!H58="",H58="",Resultat!J58="",J58=""),"",IF((H58=Resultat!H58)*(J58=Resultat!J58),Resultat!$M$5+Resultat!$AA$4,IF(((H58-J58)&gt;0)*((Resultat!H58-Resultat!J58)&gt;0),Resultat!$M$5,IF(((H58-J58)&lt;0)*((Resultat!H58-Resultat!J58)&lt;0),Resultat!$M$5,IF(((H58-J58)=0)*((Resultat!H58-Resultat!J58)=0),Resultat!$M$5,0)))))</f>
        <v/>
      </c>
      <c r="L58" s="69" t="str">
        <f t="shared" si="0"/>
        <v>x</v>
      </c>
    </row>
    <row r="59" spans="1:12" x14ac:dyDescent="0.15">
      <c r="A59" s="42">
        <v>47</v>
      </c>
      <c r="B59" s="43">
        <v>42553</v>
      </c>
      <c r="C59" s="44" t="s">
        <v>37</v>
      </c>
      <c r="D59" s="70">
        <v>0.25</v>
      </c>
      <c r="E59" s="45" t="str">
        <f>IF(J53="","",IF(H53&gt;J53,E53,G53))</f>
        <v/>
      </c>
      <c r="F59" s="46" t="s">
        <v>39</v>
      </c>
      <c r="G59" s="47" t="str">
        <f>IF(J55="","",IF(H55&gt;J55,E55,G55))</f>
        <v/>
      </c>
      <c r="H59" s="48"/>
      <c r="I59" s="46" t="s">
        <v>39</v>
      </c>
      <c r="J59" s="49"/>
      <c r="K59" s="57" t="str">
        <f>IF(OR(Resultat!H59="",H59="",Resultat!J59="",J59=""),"",IF((H59=Resultat!H59)*(J59=Resultat!J59),Resultat!$M$5+Resultat!$AA$4,IF(((H59-J59)&gt;0)*((Resultat!H59-Resultat!J59)&gt;0),Resultat!$M$5,IF(((H59-J59)&lt;0)*((Resultat!H59-Resultat!J59)&lt;0),Resultat!$M$5,IF(((H59-J59)=0)*((Resultat!H59-Resultat!J59)=0),Resultat!$M$5,0)))))</f>
        <v/>
      </c>
      <c r="L59" s="69" t="str">
        <f t="shared" si="0"/>
        <v>x</v>
      </c>
    </row>
    <row r="60" spans="1:12" x14ac:dyDescent="0.15">
      <c r="A60" s="42">
        <v>48</v>
      </c>
      <c r="B60" s="43">
        <v>42554</v>
      </c>
      <c r="C60" s="44" t="s">
        <v>41</v>
      </c>
      <c r="D60" s="70">
        <v>0.25</v>
      </c>
      <c r="E60" s="45" t="str">
        <f>IF(J52="","",IF(H52&gt;J52,E52,G52))</f>
        <v/>
      </c>
      <c r="F60" s="46" t="s">
        <v>39</v>
      </c>
      <c r="G60" s="47" t="str">
        <f>IF(J56="","",IF(H56&gt;J56,E56,G56))</f>
        <v/>
      </c>
      <c r="H60" s="48"/>
      <c r="I60" s="46" t="s">
        <v>39</v>
      </c>
      <c r="J60" s="49"/>
      <c r="K60" s="57" t="str">
        <f>IF(OR(Resultat!H60="",H60="",Resultat!J60="",J60=""),"",IF((H60=Resultat!H60)*(J60=Resultat!J60),Resultat!$M$5+Resultat!$AA$4,IF(((H60-J60)&gt;0)*((Resultat!H60-Resultat!J60)&gt;0),Resultat!$M$5,IF(((H60-J60)&lt;0)*((Resultat!H60-Resultat!J60)&lt;0),Resultat!$M$5,IF(((H60-J60)=0)*((Resultat!H60-Resultat!J60)=0),Resultat!$M$5,0)))))</f>
        <v/>
      </c>
      <c r="L60" s="69" t="str">
        <f t="shared" si="0"/>
        <v>x</v>
      </c>
    </row>
    <row r="61" spans="1:12" x14ac:dyDescent="0.15">
      <c r="A61" s="42">
        <v>49</v>
      </c>
      <c r="B61" s="43">
        <v>42557</v>
      </c>
      <c r="C61" s="44" t="s">
        <v>37</v>
      </c>
      <c r="D61" s="70" t="s">
        <v>57</v>
      </c>
      <c r="E61" s="45" t="str">
        <f>IF(J57="","",IF(H57&gt;J57,E57,G57))</f>
        <v/>
      </c>
      <c r="F61" s="46" t="s">
        <v>39</v>
      </c>
      <c r="G61" s="47" t="str">
        <f>IF(J58="","",IF(H58&gt;J58,E58,G58))</f>
        <v/>
      </c>
      <c r="H61" s="48"/>
      <c r="I61" s="46" t="s">
        <v>39</v>
      </c>
      <c r="J61" s="49"/>
      <c r="K61" s="57" t="str">
        <f>IF(OR(Resultat!H61="",H61="",Resultat!J61="",J61=""),"",IF((H61=Resultat!H61)*(J61=Resultat!J61),Resultat!$M$6+Resultat!$AA$4,IF(((H61-J61)&gt;0)*((Resultat!H61-Resultat!J61)&gt;0),Resultat!$M$6,IF(((H61-J61)&lt;0)*((Resultat!H61-Resultat!J61)&lt;0),Resultat!$M$6,IF(((H61-J61)=0)*((Resultat!H61-Resultat!J61)=0),Resultat!$M$6,0)))))</f>
        <v/>
      </c>
      <c r="L61" s="69" t="str">
        <f t="shared" si="0"/>
        <v>x</v>
      </c>
    </row>
    <row r="62" spans="1:12" x14ac:dyDescent="0.15">
      <c r="A62" s="42">
        <v>50</v>
      </c>
      <c r="B62" s="43">
        <v>42558</v>
      </c>
      <c r="C62" s="44" t="s">
        <v>37</v>
      </c>
      <c r="D62" s="70" t="s">
        <v>58</v>
      </c>
      <c r="E62" s="45" t="str">
        <f>IF(J59="","",IF(H59&gt;J59,E59,G59))</f>
        <v/>
      </c>
      <c r="F62" s="46" t="s">
        <v>39</v>
      </c>
      <c r="G62" s="47" t="str">
        <f>IF(J60="","",IF(H60&gt;J60,E60,G60))</f>
        <v/>
      </c>
      <c r="H62" s="48"/>
      <c r="I62" s="46" t="s">
        <v>39</v>
      </c>
      <c r="J62" s="49"/>
      <c r="K62" s="57" t="str">
        <f>IF(OR(Resultat!H62="",H62="",Resultat!J62="",J62=""),"",IF((H62=Resultat!H62)*(J62=Resultat!J62),Resultat!$M$6+Resultat!$AA$4,IF(((H62-J62)&gt;0)*((Resultat!H62-Resultat!J62)&gt;0),Resultat!$M$6,IF(((H62-J62)&lt;0)*((Resultat!H62-Resultat!J62)&lt;0),Resultat!$M$6,IF(((H62-J62)=0)*((Resultat!H62-Resultat!J62)=0),Resultat!$M$6,0)))))</f>
        <v/>
      </c>
      <c r="L62" s="69" t="str">
        <f t="shared" si="0"/>
        <v>x</v>
      </c>
    </row>
    <row r="63" spans="1:12" x14ac:dyDescent="0.15">
      <c r="A63" s="42">
        <v>51</v>
      </c>
      <c r="B63" s="43">
        <v>42561</v>
      </c>
      <c r="C63" s="44" t="s">
        <v>42</v>
      </c>
      <c r="D63" s="70" t="s">
        <v>23</v>
      </c>
      <c r="E63" s="45" t="str">
        <f>IF(J61="","",IF(H61&gt;J61,E61,G61))</f>
        <v/>
      </c>
      <c r="F63" s="46" t="s">
        <v>39</v>
      </c>
      <c r="G63" s="47" t="str">
        <f>IF(J62="","",IF(H62&gt;J62,E62,G62))</f>
        <v/>
      </c>
      <c r="H63" s="48"/>
      <c r="I63" s="46" t="s">
        <v>39</v>
      </c>
      <c r="J63" s="49"/>
      <c r="K63" s="57" t="str">
        <f>IF(OR(Resultat!H63="",H63="",Resultat!J63="",J63=""),"",IF((H63=Resultat!H63)*(J63=Resultat!J63),Resultat!$AA$3+Resultat!$AA$4,IF(((H63-J63)&gt;0)*((Resultat!H63-Resultat!J63)&gt;0),Resultat!$AA$3,IF(((H63-J63)&lt;0)*((Resultat!H63-Resultat!J63)&lt;0),Resultat!$AA$3,IF(((H63-J63)=0)*((Resultat!H63-Resultat!J63)=0),Resultat!$AA$3,0)))))</f>
        <v/>
      </c>
      <c r="L63" s="69" t="str">
        <f t="shared" si="0"/>
        <v>x</v>
      </c>
    </row>
    <row r="75" spans="1:1" x14ac:dyDescent="0.15">
      <c r="A75" s="51"/>
    </row>
    <row r="76" spans="1:1" x14ac:dyDescent="0.15">
      <c r="A76" s="51"/>
    </row>
    <row r="77" spans="1:1" x14ac:dyDescent="0.15">
      <c r="A77" s="51"/>
    </row>
  </sheetData>
  <mergeCells count="3">
    <mergeCell ref="H1:J1"/>
    <mergeCell ref="E12:G12"/>
    <mergeCell ref="H12:J12"/>
  </mergeCells>
  <phoneticPr fontId="15" type="noConversion"/>
  <conditionalFormatting sqref="A14:B14 B15:B16 D14:G14 I14 K14:K48">
    <cfRule type="expression" dxfId="148" priority="37">
      <formula>$H14&lt;&gt;""</formula>
    </cfRule>
  </conditionalFormatting>
  <conditionalFormatting sqref="A15 D15:G15 I15">
    <cfRule type="expression" dxfId="147" priority="36">
      <formula>$H15&lt;&gt;""</formula>
    </cfRule>
  </conditionalFormatting>
  <conditionalFormatting sqref="A16 D16:G16 I16">
    <cfRule type="expression" dxfId="146" priority="35">
      <formula>$H16&lt;&gt;""</formula>
    </cfRule>
  </conditionalFormatting>
  <conditionalFormatting sqref="A17:G17 B18:B48 C18 I17">
    <cfRule type="expression" dxfId="145" priority="34">
      <formula>$H17&lt;&gt;""</formula>
    </cfRule>
  </conditionalFormatting>
  <conditionalFormatting sqref="A18 D18:G18 I18">
    <cfRule type="expression" dxfId="144" priority="33">
      <formula>$H18&lt;&gt;""</formula>
    </cfRule>
  </conditionalFormatting>
  <conditionalFormatting sqref="A19 C19:G19 C20:C22 I19">
    <cfRule type="expression" dxfId="143" priority="32">
      <formula>$H19&lt;&gt;""</formula>
    </cfRule>
  </conditionalFormatting>
  <conditionalFormatting sqref="A20 D20:G20 I20">
    <cfRule type="expression" dxfId="142" priority="31">
      <formula>$H20&lt;&gt;""</formula>
    </cfRule>
  </conditionalFormatting>
  <conditionalFormatting sqref="A21 D21:G21 I21">
    <cfRule type="expression" dxfId="141" priority="30">
      <formula>$H21&lt;&gt;""</formula>
    </cfRule>
  </conditionalFormatting>
  <conditionalFormatting sqref="A22 D22:G22 I22">
    <cfRule type="expression" dxfId="140" priority="29">
      <formula>$H22&lt;&gt;""</formula>
    </cfRule>
  </conditionalFormatting>
  <conditionalFormatting sqref="A23 C23:G23 I23">
    <cfRule type="expression" dxfId="139" priority="28">
      <formula>$H23&lt;&gt;""</formula>
    </cfRule>
  </conditionalFormatting>
  <conditionalFormatting sqref="A24 C24:G24 I24">
    <cfRule type="expression" dxfId="138" priority="27">
      <formula>$H24&lt;&gt;""</formula>
    </cfRule>
  </conditionalFormatting>
  <conditionalFormatting sqref="A25 C25:G25 I25">
    <cfRule type="expression" dxfId="137" priority="26">
      <formula>$H25&lt;&gt;""</formula>
    </cfRule>
  </conditionalFormatting>
  <conditionalFormatting sqref="A26 C26:G26 I26">
    <cfRule type="expression" dxfId="136" priority="25">
      <formula>$H26&lt;&gt;""</formula>
    </cfRule>
  </conditionalFormatting>
  <conditionalFormatting sqref="A27 C27:G27 I27">
    <cfRule type="expression" dxfId="135" priority="24">
      <formula>$H27&lt;&gt;""</formula>
    </cfRule>
  </conditionalFormatting>
  <conditionalFormatting sqref="A28 C28:G28 I28">
    <cfRule type="expression" dxfId="134" priority="23">
      <formula>$H28&lt;&gt;""</formula>
    </cfRule>
  </conditionalFormatting>
  <conditionalFormatting sqref="A29 C29:G29 I29">
    <cfRule type="expression" dxfId="133" priority="22">
      <formula>$H29&lt;&gt;""</formula>
    </cfRule>
  </conditionalFormatting>
  <conditionalFormatting sqref="A30 C30:G30 I30">
    <cfRule type="expression" dxfId="132" priority="21">
      <formula>$H30&lt;&gt;""</formula>
    </cfRule>
  </conditionalFormatting>
  <conditionalFormatting sqref="A31 C31:G31 I31">
    <cfRule type="expression" dxfId="131" priority="20">
      <formula>$H31&lt;&gt;""</formula>
    </cfRule>
  </conditionalFormatting>
  <conditionalFormatting sqref="A32 C32:G32 I32">
    <cfRule type="expression" dxfId="130" priority="19">
      <formula>$H32&lt;&gt;""</formula>
    </cfRule>
  </conditionalFormatting>
  <conditionalFormatting sqref="A33 C33:G33 I33">
    <cfRule type="expression" dxfId="129" priority="18">
      <formula>$H33&lt;&gt;""</formula>
    </cfRule>
  </conditionalFormatting>
  <conditionalFormatting sqref="A34 C34:G34 I34">
    <cfRule type="expression" dxfId="128" priority="17">
      <formula>$H34&lt;&gt;""</formula>
    </cfRule>
  </conditionalFormatting>
  <conditionalFormatting sqref="A35 C35:G35 I35">
    <cfRule type="expression" dxfId="127" priority="16">
      <formula>$H35&lt;&gt;""</formula>
    </cfRule>
  </conditionalFormatting>
  <conditionalFormatting sqref="A36 C36:G36 I36">
    <cfRule type="expression" dxfId="126" priority="15">
      <formula>$H36&lt;&gt;""</formula>
    </cfRule>
  </conditionalFormatting>
  <conditionalFormatting sqref="A37 C37:G37 I37">
    <cfRule type="expression" dxfId="125" priority="14">
      <formula>$H37&lt;&gt;""</formula>
    </cfRule>
  </conditionalFormatting>
  <conditionalFormatting sqref="A38 C38:G38 I38">
    <cfRule type="expression" dxfId="124" priority="13">
      <formula>$H38&lt;&gt;""</formula>
    </cfRule>
  </conditionalFormatting>
  <conditionalFormatting sqref="A39 C39:G39 I39">
    <cfRule type="expression" dxfId="123" priority="12">
      <formula>$H39&lt;&gt;""</formula>
    </cfRule>
  </conditionalFormatting>
  <conditionalFormatting sqref="A40 C40:G40 I40">
    <cfRule type="expression" dxfId="122" priority="11">
      <formula>$H40&lt;&gt;""</formula>
    </cfRule>
  </conditionalFormatting>
  <conditionalFormatting sqref="A41 C41:G41 I41">
    <cfRule type="expression" dxfId="121" priority="10">
      <formula>$H41&lt;&gt;""</formula>
    </cfRule>
  </conditionalFormatting>
  <conditionalFormatting sqref="A42 C42:G42 I42">
    <cfRule type="expression" dxfId="120" priority="9">
      <formula>$H42&lt;&gt;""</formula>
    </cfRule>
  </conditionalFormatting>
  <conditionalFormatting sqref="A43 C43:G43 I43">
    <cfRule type="expression" dxfId="119" priority="8">
      <formula>$H43&lt;&gt;""</formula>
    </cfRule>
  </conditionalFormatting>
  <conditionalFormatting sqref="A44 C44:G44 I44">
    <cfRule type="expression" dxfId="118" priority="7">
      <formula>$H44&lt;&gt;""</formula>
    </cfRule>
  </conditionalFormatting>
  <conditionalFormatting sqref="A45 C45:G45 I45">
    <cfRule type="expression" dxfId="117" priority="6">
      <formula>$H45&lt;&gt;""</formula>
    </cfRule>
  </conditionalFormatting>
  <conditionalFormatting sqref="A46 C46:G46 I46">
    <cfRule type="expression" dxfId="116" priority="5">
      <formula>$H46&lt;&gt;""</formula>
    </cfRule>
  </conditionalFormatting>
  <conditionalFormatting sqref="A47 C47:G47 I47">
    <cfRule type="expression" dxfId="115" priority="4">
      <formula>$H47&lt;&gt;""</formula>
    </cfRule>
  </conditionalFormatting>
  <conditionalFormatting sqref="A48 C48:G48 I48">
    <cfRule type="expression" dxfId="114" priority="3">
      <formula>$H48&lt;&gt;""</formula>
    </cfRule>
  </conditionalFormatting>
  <conditionalFormatting sqref="A13:K13 C14:C16 H14:H48 J14:J48">
    <cfRule type="expression" dxfId="113" priority="2">
      <formula>$H13&lt;&gt;""</formula>
    </cfRule>
  </conditionalFormatting>
  <conditionalFormatting sqref="K49:K63">
    <cfRule type="expression" dxfId="112" priority="1">
      <formula>$H49&lt;&gt;""</formula>
    </cfRule>
  </conditionalFormatting>
  <pageMargins left="0.7" right="0.7" top="0.75" bottom="0.75" header="0.3" footer="0.3"/>
  <pageSetup paperSize="9" orientation="landscape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 enableFormatConditionsCalculation="0">
    <pageSetUpPr autoPageBreaks="0"/>
  </sheetPr>
  <dimension ref="A1:Y77"/>
  <sheetViews>
    <sheetView workbookViewId="0">
      <pane ySplit="12" topLeftCell="A13" activePane="bottomLeft" state="frozen"/>
      <selection pane="bottomLeft" activeCell="H42" sqref="A42:H42"/>
    </sheetView>
  </sheetViews>
  <sheetFormatPr baseColWidth="10" defaultColWidth="8.83203125" defaultRowHeight="13" x14ac:dyDescent="0.15"/>
  <cols>
    <col min="1" max="1" width="8.5" style="34" customWidth="1"/>
    <col min="2" max="2" width="11.83203125" style="34" customWidth="1"/>
    <col min="3" max="3" width="8.83203125" style="34"/>
    <col min="4" max="4" width="8.83203125" style="34" customWidth="1"/>
    <col min="5" max="5" width="14.83203125" style="34" bestFit="1" customWidth="1"/>
    <col min="6" max="6" width="1.5" style="34" bestFit="1" customWidth="1"/>
    <col min="7" max="7" width="14.83203125" style="34" bestFit="1" customWidth="1"/>
    <col min="8" max="8" width="5.1640625" style="34" customWidth="1"/>
    <col min="9" max="9" width="1.5" style="34" customWidth="1"/>
    <col min="10" max="10" width="5.1640625" style="34" customWidth="1"/>
    <col min="11" max="11" width="6.1640625" style="34" customWidth="1"/>
    <col min="12" max="12" width="12.33203125" style="34" customWidth="1"/>
    <col min="13" max="13" width="8.83203125" style="34" customWidth="1"/>
    <col min="14" max="14" width="10.83203125" style="34" customWidth="1"/>
    <col min="15" max="15" width="13.33203125" style="34" customWidth="1"/>
    <col min="16" max="16384" width="8.83203125" style="34"/>
  </cols>
  <sheetData>
    <row r="1" spans="1:25" ht="20" x14ac:dyDescent="0.2">
      <c r="A1" s="1" t="s">
        <v>89</v>
      </c>
      <c r="B1" s="2"/>
      <c r="C1" s="2"/>
      <c r="D1" s="2"/>
      <c r="E1" s="3"/>
      <c r="F1" s="3"/>
      <c r="G1" s="3"/>
      <c r="H1" s="99" t="s">
        <v>95</v>
      </c>
      <c r="I1" s="99"/>
      <c r="J1" s="99"/>
      <c r="K1" s="67">
        <f>SUM(K13:K63)+SUM(P16:P19)</f>
        <v>24</v>
      </c>
      <c r="L1" s="3"/>
      <c r="M1" s="3"/>
      <c r="N1" s="31" t="s">
        <v>0</v>
      </c>
      <c r="O1" s="32"/>
      <c r="P1" s="32"/>
      <c r="Q1" s="32"/>
      <c r="R1" s="32"/>
      <c r="S1" s="32" t="s">
        <v>1</v>
      </c>
      <c r="T1" s="32"/>
      <c r="U1" s="32" t="s">
        <v>1</v>
      </c>
      <c r="V1" s="32"/>
      <c r="W1" s="32"/>
      <c r="X1" s="32"/>
      <c r="Y1" s="33"/>
    </row>
    <row r="2" spans="1:25" ht="12.75" customHeight="1" x14ac:dyDescent="0.15">
      <c r="A2" s="5" t="s">
        <v>2</v>
      </c>
      <c r="B2" s="6"/>
      <c r="C2" s="6"/>
      <c r="D2" s="6"/>
      <c r="E2" s="7"/>
      <c r="F2" s="7"/>
      <c r="G2" s="7"/>
      <c r="H2" s="8"/>
      <c r="I2" s="8"/>
      <c r="J2" s="8"/>
      <c r="K2" s="8"/>
      <c r="L2" s="7"/>
      <c r="M2" s="7"/>
      <c r="N2" s="35" t="s">
        <v>3</v>
      </c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</row>
    <row r="3" spans="1:25" ht="12.75" customHeight="1" x14ac:dyDescent="0.15">
      <c r="A3" s="9" t="s">
        <v>4</v>
      </c>
      <c r="B3" s="10"/>
      <c r="C3" s="10"/>
      <c r="D3" s="10"/>
      <c r="E3" s="10" t="s">
        <v>5</v>
      </c>
      <c r="F3" s="11"/>
      <c r="G3" s="12"/>
      <c r="H3" s="12"/>
      <c r="I3" s="12"/>
      <c r="J3" s="12"/>
      <c r="K3" s="12"/>
      <c r="L3" s="12" t="s">
        <v>6</v>
      </c>
      <c r="M3" s="12"/>
      <c r="N3" s="35" t="s">
        <v>7</v>
      </c>
      <c r="O3" s="36"/>
      <c r="P3" s="36"/>
      <c r="Q3" s="36"/>
      <c r="R3" s="36"/>
      <c r="S3" s="36"/>
      <c r="T3" s="36"/>
      <c r="U3" s="36"/>
      <c r="V3" s="36"/>
      <c r="W3" s="36"/>
      <c r="X3" s="36"/>
      <c r="Y3" s="37"/>
    </row>
    <row r="4" spans="1:25" ht="12.75" customHeight="1" x14ac:dyDescent="0.15">
      <c r="A4" s="13" t="s">
        <v>8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4" t="s">
        <v>9</v>
      </c>
      <c r="M4" s="16">
        <v>4</v>
      </c>
      <c r="N4" s="38"/>
      <c r="O4" s="36"/>
      <c r="P4" s="36"/>
      <c r="Q4" s="36"/>
      <c r="R4" s="36"/>
      <c r="S4" s="36"/>
      <c r="T4" s="36"/>
      <c r="U4" s="36"/>
      <c r="V4" s="36"/>
      <c r="W4" s="36"/>
      <c r="X4" s="36"/>
      <c r="Y4" s="37"/>
    </row>
    <row r="5" spans="1:25" ht="12.75" customHeight="1" x14ac:dyDescent="0.15">
      <c r="A5" s="17" t="s">
        <v>10</v>
      </c>
      <c r="B5" s="18"/>
      <c r="C5" s="18"/>
      <c r="D5" s="18"/>
      <c r="E5" s="18" t="s">
        <v>11</v>
      </c>
      <c r="F5" s="18"/>
      <c r="G5" s="18"/>
      <c r="H5" s="19"/>
      <c r="I5" s="19"/>
      <c r="J5" s="19"/>
      <c r="K5" s="19"/>
      <c r="L5" s="18" t="s">
        <v>12</v>
      </c>
      <c r="M5" s="20">
        <v>6</v>
      </c>
      <c r="N5" s="35" t="s">
        <v>13</v>
      </c>
      <c r="O5" s="36"/>
      <c r="P5" s="36"/>
      <c r="Q5" s="36"/>
      <c r="R5" s="36"/>
      <c r="S5" s="36"/>
      <c r="T5" s="36"/>
      <c r="U5" s="36"/>
      <c r="V5" s="36"/>
      <c r="W5" s="36"/>
      <c r="X5" s="36"/>
      <c r="Y5" s="37"/>
    </row>
    <row r="6" spans="1:25" ht="12.75" customHeight="1" x14ac:dyDescent="0.15">
      <c r="A6" s="17" t="s">
        <v>14</v>
      </c>
      <c r="B6" s="18"/>
      <c r="C6" s="18"/>
      <c r="D6" s="18"/>
      <c r="E6" s="18" t="s">
        <v>15</v>
      </c>
      <c r="F6" s="18"/>
      <c r="G6" s="18"/>
      <c r="H6" s="19"/>
      <c r="I6" s="19"/>
      <c r="J6" s="19"/>
      <c r="K6" s="19"/>
      <c r="L6" s="18" t="s">
        <v>16</v>
      </c>
      <c r="M6" s="20">
        <v>10</v>
      </c>
      <c r="N6" s="38" t="s">
        <v>17</v>
      </c>
      <c r="O6" s="36"/>
      <c r="P6" s="36"/>
      <c r="Q6" s="36"/>
      <c r="R6" s="36"/>
      <c r="S6" s="36"/>
      <c r="T6" s="36"/>
      <c r="U6" s="36"/>
      <c r="V6" s="36"/>
      <c r="W6" s="36"/>
      <c r="X6" s="36"/>
      <c r="Y6" s="37"/>
    </row>
    <row r="7" spans="1:25" ht="12.75" customHeight="1" x14ac:dyDescent="0.15">
      <c r="A7" s="17" t="s">
        <v>18</v>
      </c>
      <c r="B7" s="18"/>
      <c r="C7" s="18"/>
      <c r="D7" s="18"/>
      <c r="E7" s="18" t="s">
        <v>19</v>
      </c>
      <c r="F7" s="18"/>
      <c r="G7" s="18"/>
      <c r="H7" s="19"/>
      <c r="I7" s="19"/>
      <c r="J7" s="19"/>
      <c r="K7" s="19"/>
      <c r="L7" s="18" t="s">
        <v>20</v>
      </c>
      <c r="M7" s="20">
        <v>14</v>
      </c>
      <c r="N7" s="38" t="s">
        <v>21</v>
      </c>
      <c r="O7" s="36"/>
      <c r="P7" s="36"/>
      <c r="Q7" s="36"/>
      <c r="R7" s="36"/>
      <c r="S7" s="36"/>
      <c r="T7" s="36"/>
      <c r="U7" s="36"/>
      <c r="V7" s="36"/>
      <c r="W7" s="36"/>
      <c r="X7" s="36"/>
      <c r="Y7" s="37"/>
    </row>
    <row r="8" spans="1:25" ht="12.75" customHeight="1" x14ac:dyDescent="0.15">
      <c r="A8" s="17" t="s">
        <v>22</v>
      </c>
      <c r="B8" s="18"/>
      <c r="C8" s="18"/>
      <c r="D8" s="18"/>
      <c r="E8" s="18"/>
      <c r="F8" s="18"/>
      <c r="G8" s="18"/>
      <c r="H8" s="19"/>
      <c r="I8" s="19"/>
      <c r="J8" s="19"/>
      <c r="K8" s="19"/>
      <c r="L8" s="18" t="s">
        <v>23</v>
      </c>
      <c r="M8" s="20">
        <v>16</v>
      </c>
      <c r="N8" s="38" t="s">
        <v>24</v>
      </c>
      <c r="O8" s="36"/>
      <c r="P8" s="36"/>
      <c r="Q8" s="36"/>
      <c r="R8" s="36"/>
      <c r="S8" s="36"/>
      <c r="T8" s="36"/>
      <c r="U8" s="36"/>
      <c r="V8" s="36"/>
      <c r="W8" s="36"/>
      <c r="X8" s="36"/>
      <c r="Y8" s="37"/>
    </row>
    <row r="9" spans="1:25" ht="12.75" customHeight="1" x14ac:dyDescent="0.15">
      <c r="A9" s="17" t="s">
        <v>25</v>
      </c>
      <c r="B9" s="18"/>
      <c r="C9" s="18"/>
      <c r="D9" s="18"/>
      <c r="E9" s="18"/>
      <c r="F9" s="18"/>
      <c r="G9" s="18"/>
      <c r="H9" s="19"/>
      <c r="I9" s="19"/>
      <c r="J9" s="19"/>
      <c r="K9" s="19"/>
      <c r="L9" s="18"/>
      <c r="M9" s="18"/>
      <c r="N9" s="35" t="s">
        <v>26</v>
      </c>
      <c r="O9" s="36"/>
      <c r="P9" s="36"/>
      <c r="Q9" s="36"/>
      <c r="R9" s="36"/>
      <c r="S9" s="36"/>
      <c r="T9" s="36"/>
      <c r="U9" s="36"/>
      <c r="V9" s="36"/>
      <c r="W9" s="36"/>
      <c r="X9" s="36"/>
      <c r="Y9" s="37"/>
    </row>
    <row r="10" spans="1:25" ht="12.75" customHeight="1" x14ac:dyDescent="0.15">
      <c r="A10" s="21" t="s">
        <v>27</v>
      </c>
      <c r="B10" s="22"/>
      <c r="C10" s="22"/>
      <c r="D10" s="22"/>
      <c r="E10" s="22"/>
      <c r="F10" s="22"/>
      <c r="G10" s="22"/>
      <c r="H10" s="23"/>
      <c r="I10" s="23"/>
      <c r="J10" s="23"/>
      <c r="K10" s="23"/>
      <c r="L10" s="22"/>
      <c r="M10" s="22"/>
      <c r="N10" s="38" t="s">
        <v>28</v>
      </c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7"/>
    </row>
    <row r="11" spans="1:25" ht="12.75" customHeight="1" x14ac:dyDescent="0.15">
      <c r="A11" s="1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5"/>
      <c r="M11" s="26"/>
      <c r="N11" s="39" t="s">
        <v>29</v>
      </c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1"/>
    </row>
    <row r="12" spans="1:25" x14ac:dyDescent="0.15">
      <c r="A12" s="27" t="s">
        <v>30</v>
      </c>
      <c r="B12" s="25" t="s">
        <v>31</v>
      </c>
      <c r="C12" s="87" t="s">
        <v>32</v>
      </c>
      <c r="D12" s="87" t="s">
        <v>33</v>
      </c>
      <c r="E12" s="95" t="s">
        <v>34</v>
      </c>
      <c r="F12" s="96"/>
      <c r="G12" s="95"/>
      <c r="H12" s="95" t="s">
        <v>35</v>
      </c>
      <c r="I12" s="95"/>
      <c r="J12" s="95"/>
      <c r="K12" s="86" t="s">
        <v>90</v>
      </c>
      <c r="L12" s="86" t="s">
        <v>96</v>
      </c>
      <c r="M12" s="86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</row>
    <row r="13" spans="1:25" x14ac:dyDescent="0.15">
      <c r="A13" s="42">
        <v>1</v>
      </c>
      <c r="B13" s="43">
        <v>42531</v>
      </c>
      <c r="C13" s="44" t="s">
        <v>42</v>
      </c>
      <c r="D13" s="42" t="s">
        <v>38</v>
      </c>
      <c r="E13" s="45" t="s">
        <v>51</v>
      </c>
      <c r="F13" s="46" t="s">
        <v>39</v>
      </c>
      <c r="G13" s="47" t="s">
        <v>60</v>
      </c>
      <c r="H13" s="48">
        <v>1</v>
      </c>
      <c r="I13" s="46" t="s">
        <v>39</v>
      </c>
      <c r="J13" s="49">
        <v>3</v>
      </c>
      <c r="K13" s="57">
        <f>IF(OR(Resultat!H13="",H13="",Resultat!J13="",J13=""),"",IF((H13=Resultat!H13)*(J13=Resultat!J13),Resultat!$AA$3+Resultat!$AA$4,IF(((H13-J13)&gt;0)*((Resultat!H13-Resultat!J13)&gt;0),Resultat!$AA$3,IF(((H13-J13)&lt;0)*((Resultat!H13-Resultat!J13)&lt;0),Resultat!$AA$3,IF(((H13-J13)=0)*((Resultat!H13-Resultat!J13)=0),Resultat!$AA$3,0)))))</f>
        <v>2</v>
      </c>
      <c r="L13" s="69">
        <f>IF(H13&gt;J13,1,IF(H13=J13,"x",IF(H13&lt;J13,2)))</f>
        <v>2</v>
      </c>
    </row>
    <row r="14" spans="1:25" x14ac:dyDescent="0.15">
      <c r="A14" s="42">
        <v>2</v>
      </c>
      <c r="B14" s="43">
        <v>42532</v>
      </c>
      <c r="C14" s="44" t="s">
        <v>59</v>
      </c>
      <c r="D14" s="42" t="s">
        <v>38</v>
      </c>
      <c r="E14" s="45" t="s">
        <v>61</v>
      </c>
      <c r="F14" s="46" t="s">
        <v>39</v>
      </c>
      <c r="G14" s="47" t="s">
        <v>50</v>
      </c>
      <c r="H14" s="48">
        <v>1</v>
      </c>
      <c r="I14" s="46" t="s">
        <v>39</v>
      </c>
      <c r="J14" s="49">
        <v>3</v>
      </c>
      <c r="K14" s="57">
        <f>IF(OR(Resultat!H14="",H14="",Resultat!J14="",J14=""),"",IF((H14=Resultat!H14)*(J14=Resultat!J14),Resultat!$AA$3+Resultat!$AA$4,IF(((H14-J14)&gt;0)*((Resultat!H14-Resultat!J14)&gt;0),Resultat!$AA$3,IF(((H14-J14)&lt;0)*((Resultat!H14-Resultat!J14)&lt;0),Resultat!$AA$3,IF(((H14-J14)=0)*((Resultat!H14-Resultat!J14)=0),Resultat!$AA$3,0)))))</f>
        <v>0</v>
      </c>
      <c r="L14" s="69">
        <f t="shared" ref="L14:L63" si="0">IF(H14&gt;J14,1,IF(H14=J14,"x",IF(H14&lt;J14,2)))</f>
        <v>2</v>
      </c>
    </row>
    <row r="15" spans="1:25" ht="13" customHeight="1" x14ac:dyDescent="0.2">
      <c r="A15" s="42">
        <v>3</v>
      </c>
      <c r="B15" s="43">
        <v>42532</v>
      </c>
      <c r="C15" s="44" t="s">
        <v>41</v>
      </c>
      <c r="D15" s="42" t="s">
        <v>43</v>
      </c>
      <c r="E15" s="45" t="s">
        <v>62</v>
      </c>
      <c r="F15" s="46" t="s">
        <v>39</v>
      </c>
      <c r="G15" s="47" t="s">
        <v>63</v>
      </c>
      <c r="H15" s="48">
        <v>1</v>
      </c>
      <c r="I15" s="46" t="s">
        <v>39</v>
      </c>
      <c r="J15" s="49">
        <v>3</v>
      </c>
      <c r="K15" s="57">
        <f>IF(OR(Resultat!H15="",H15="",Resultat!J15="",J15=""),"",IF((H15=Resultat!H15)*(J15=Resultat!J15),Resultat!$AA$3+Resultat!$AA$4,IF(((H15-J15)&gt;0)*((Resultat!H15-Resultat!J15)&gt;0),Resultat!$AA$3,IF(((H15-J15)&lt;0)*((Resultat!H15-Resultat!J15)&lt;0),Resultat!$AA$3,IF(((H15-J15)=0)*((Resultat!H15-Resultat!J15)=0),Resultat!$AA$3,0)))))</f>
        <v>0</v>
      </c>
      <c r="L15" s="69">
        <f t="shared" si="0"/>
        <v>2</v>
      </c>
      <c r="N15" s="58"/>
      <c r="O15" s="59"/>
      <c r="P15" s="60" t="s">
        <v>90</v>
      </c>
    </row>
    <row r="16" spans="1:25" ht="13" customHeight="1" x14ac:dyDescent="0.2">
      <c r="A16" s="42">
        <v>4</v>
      </c>
      <c r="B16" s="43">
        <v>42532</v>
      </c>
      <c r="C16" s="44" t="s">
        <v>42</v>
      </c>
      <c r="D16" s="42" t="s">
        <v>43</v>
      </c>
      <c r="E16" s="45" t="s">
        <v>47</v>
      </c>
      <c r="F16" s="46" t="s">
        <v>39</v>
      </c>
      <c r="G16" s="47" t="s">
        <v>56</v>
      </c>
      <c r="H16" s="48">
        <v>1</v>
      </c>
      <c r="I16" s="46" t="s">
        <v>39</v>
      </c>
      <c r="J16" s="49">
        <v>3</v>
      </c>
      <c r="K16" s="57">
        <f>IF(OR(Resultat!H16="",H16="",Resultat!J16="",J16=""),"",IF((H16=Resultat!H16)*(J16=Resultat!J16),Resultat!$AA$3+Resultat!$AA$4,IF(((H16-J16)&gt;0)*((Resultat!H16-Resultat!J16)&gt;0),Resultat!$AA$3,IF(((H16-J16)&lt;0)*((Resultat!H16-Resultat!J16)&lt;0),Resultat!$AA$3,IF(((H16-J16)=0)*((Resultat!H16-Resultat!J16)=0),Resultat!$AA$3,0)))))</f>
        <v>0</v>
      </c>
      <c r="L16" s="69">
        <f t="shared" si="0"/>
        <v>2</v>
      </c>
      <c r="N16" s="61" t="s">
        <v>91</v>
      </c>
      <c r="O16" s="62" t="s">
        <v>69</v>
      </c>
      <c r="P16" s="63">
        <f>Resultat!$AA$6*(SUMPRODUCT((Resultat!J$13:J$64&lt;&gt;"")*(Resultat!$E$13:$E$64=O16)*(Resultat!$J$13:$J$64=0)))+Resultat!$AA$6*(SUMPRODUCT((Resultat!$H$13:$H$64&lt;&gt;"")*(Resultat!$G$13:$G$64=O16)*(Resultat!$H$13:$H$64=0)))</f>
        <v>2</v>
      </c>
    </row>
    <row r="17" spans="1:16" ht="13" customHeight="1" x14ac:dyDescent="0.2">
      <c r="A17" s="42">
        <v>5</v>
      </c>
      <c r="B17" s="43">
        <v>42533</v>
      </c>
      <c r="C17" s="44" t="s">
        <v>59</v>
      </c>
      <c r="D17" s="42" t="s">
        <v>46</v>
      </c>
      <c r="E17" s="45" t="s">
        <v>64</v>
      </c>
      <c r="F17" s="46" t="s">
        <v>39</v>
      </c>
      <c r="G17" s="47" t="s">
        <v>40</v>
      </c>
      <c r="H17" s="48">
        <v>1</v>
      </c>
      <c r="I17" s="46" t="s">
        <v>39</v>
      </c>
      <c r="J17" s="49">
        <v>3</v>
      </c>
      <c r="K17" s="57">
        <f>IF(OR(Resultat!H17="",H17="",Resultat!J17="",J17=""),"",IF((H17=Resultat!H17)*(J17=Resultat!J17),Resultat!$AA$3+Resultat!$AA$4,IF(((H17-J17)&gt;0)*((Resultat!H17-Resultat!J17)&gt;0),Resultat!$AA$3,IF(((H17-J17)&lt;0)*((Resultat!H17-Resultat!J17)&lt;0),Resultat!$AA$3,IF(((H17-J17)=0)*((Resultat!H17-Resultat!J17)=0),Resultat!$AA$3,0)))))</f>
        <v>0</v>
      </c>
      <c r="L17" s="69">
        <f t="shared" si="0"/>
        <v>2</v>
      </c>
      <c r="N17" s="61" t="s">
        <v>92</v>
      </c>
      <c r="O17" s="62" t="s">
        <v>110</v>
      </c>
      <c r="P17" s="63">
        <f>COUNTIF(Resultat!$K$13:$AB$64,O17)*Resultat!$AA$6</f>
        <v>4</v>
      </c>
    </row>
    <row r="18" spans="1:16" ht="13" customHeight="1" x14ac:dyDescent="0.2">
      <c r="A18" s="42">
        <v>6</v>
      </c>
      <c r="B18" s="43">
        <v>42533</v>
      </c>
      <c r="C18" s="44" t="s">
        <v>41</v>
      </c>
      <c r="D18" s="42" t="s">
        <v>45</v>
      </c>
      <c r="E18" s="45" t="s">
        <v>65</v>
      </c>
      <c r="F18" s="46" t="s">
        <v>39</v>
      </c>
      <c r="G18" s="47" t="s">
        <v>66</v>
      </c>
      <c r="H18" s="48">
        <v>1</v>
      </c>
      <c r="I18" s="46" t="s">
        <v>39</v>
      </c>
      <c r="J18" s="49">
        <v>3</v>
      </c>
      <c r="K18" s="57">
        <f>IF(OR(Resultat!H18="",H18="",Resultat!J18="",J18=""),"",IF((H18=Resultat!H18)*(J18=Resultat!J18),Resultat!$AA$3+Resultat!$AA$4,IF(((H18-J18)&gt;0)*((Resultat!H18-Resultat!J18)&gt;0),Resultat!$AA$3,IF(((H18-J18)&lt;0)*((Resultat!H18-Resultat!J18)&lt;0),Resultat!$AA$3,IF(((H18-J18)=0)*((Resultat!H18-Resultat!J18)=0),Resultat!$AA$3,0)))))</f>
        <v>0</v>
      </c>
      <c r="L18" s="69">
        <f t="shared" si="0"/>
        <v>2</v>
      </c>
      <c r="N18" s="61" t="s">
        <v>93</v>
      </c>
      <c r="O18" s="62" t="s">
        <v>111</v>
      </c>
      <c r="P18" s="63">
        <f>COUNTIF(Resultat!$K$13:$AB$64,O18)*Resultat!$AA$6</f>
        <v>2</v>
      </c>
    </row>
    <row r="19" spans="1:16" ht="13" customHeight="1" x14ac:dyDescent="0.2">
      <c r="A19" s="42">
        <v>7</v>
      </c>
      <c r="B19" s="43">
        <v>42533</v>
      </c>
      <c r="C19" s="44" t="s">
        <v>42</v>
      </c>
      <c r="D19" s="42" t="s">
        <v>45</v>
      </c>
      <c r="E19" s="45" t="s">
        <v>53</v>
      </c>
      <c r="F19" s="46" t="s">
        <v>39</v>
      </c>
      <c r="G19" s="47" t="s">
        <v>67</v>
      </c>
      <c r="H19" s="48">
        <v>1</v>
      </c>
      <c r="I19" s="46" t="s">
        <v>39</v>
      </c>
      <c r="J19" s="49">
        <v>3</v>
      </c>
      <c r="K19" s="57">
        <f>IF(OR(Resultat!H19="",H19="",Resultat!J19="",J19=""),"",IF((H19=Resultat!H19)*(J19=Resultat!J19),Resultat!$AA$3+Resultat!$AA$4,IF(((H19-J19)&gt;0)*((Resultat!H19-Resultat!J19)&gt;0),Resultat!$AA$3,IF(((H19-J19)&lt;0)*((Resultat!H19-Resultat!J19)&lt;0),Resultat!$AA$3,IF(((H19-J19)=0)*((Resultat!H19-Resultat!J19)=0),Resultat!$AA$3,0)))))</f>
        <v>0</v>
      </c>
      <c r="L19" s="69">
        <f t="shared" si="0"/>
        <v>2</v>
      </c>
      <c r="N19" s="64" t="s">
        <v>94</v>
      </c>
      <c r="O19" s="65" t="s">
        <v>112</v>
      </c>
      <c r="P19" s="66">
        <f>COUNTIF(Resultat!$K$13:$AB$64,O19)*Resultat!$AA$6</f>
        <v>2</v>
      </c>
    </row>
    <row r="20" spans="1:16" x14ac:dyDescent="0.15">
      <c r="A20" s="42">
        <v>8</v>
      </c>
      <c r="B20" s="43">
        <v>42534</v>
      </c>
      <c r="C20" s="44" t="s">
        <v>59</v>
      </c>
      <c r="D20" s="42" t="s">
        <v>46</v>
      </c>
      <c r="E20" s="45" t="s">
        <v>44</v>
      </c>
      <c r="F20" s="46" t="s">
        <v>39</v>
      </c>
      <c r="G20" s="47" t="s">
        <v>68</v>
      </c>
      <c r="H20" s="48">
        <v>1</v>
      </c>
      <c r="I20" s="46" t="s">
        <v>39</v>
      </c>
      <c r="J20" s="49">
        <v>3</v>
      </c>
      <c r="K20" s="57">
        <f>IF(OR(Resultat!H20="",H20="",Resultat!J20="",J20=""),"",IF((H20=Resultat!H20)*(J20=Resultat!J20),Resultat!$AA$3+Resultat!$AA$4,IF(((H20-J20)&gt;0)*((Resultat!H20-Resultat!J20)&gt;0),Resultat!$AA$3,IF(((H20-J20)&lt;0)*((Resultat!H20-Resultat!J20)&lt;0),Resultat!$AA$3,IF(((H20-J20)=0)*((Resultat!H20-Resultat!J20)=0),Resultat!$AA$3,0)))))</f>
        <v>0</v>
      </c>
      <c r="L20" s="69">
        <f t="shared" si="0"/>
        <v>2</v>
      </c>
    </row>
    <row r="21" spans="1:16" x14ac:dyDescent="0.15">
      <c r="A21" s="42">
        <v>9</v>
      </c>
      <c r="B21" s="43">
        <v>42534</v>
      </c>
      <c r="C21" s="44" t="s">
        <v>41</v>
      </c>
      <c r="D21" s="42" t="s">
        <v>49</v>
      </c>
      <c r="E21" s="45" t="s">
        <v>69</v>
      </c>
      <c r="F21" s="46" t="s">
        <v>39</v>
      </c>
      <c r="G21" s="47" t="s">
        <v>70</v>
      </c>
      <c r="H21" s="48">
        <v>1</v>
      </c>
      <c r="I21" s="46" t="s">
        <v>39</v>
      </c>
      <c r="J21" s="49">
        <v>3</v>
      </c>
      <c r="K21" s="57">
        <f>IF(OR(Resultat!H21="",H21="",Resultat!J21="",J21=""),"",IF((H21=Resultat!H21)*(J21=Resultat!J21),Resultat!$AA$3+Resultat!$AA$4,IF(((H21-J21)&gt;0)*((Resultat!H21-Resultat!J21)&gt;0),Resultat!$AA$3,IF(((H21-J21)&lt;0)*((Resultat!H21-Resultat!J21)&lt;0),Resultat!$AA$3,IF(((H21-J21)=0)*((Resultat!H21-Resultat!J21)=0),Resultat!$AA$3,0)))))</f>
        <v>0</v>
      </c>
      <c r="L21" s="69">
        <f t="shared" si="0"/>
        <v>2</v>
      </c>
    </row>
    <row r="22" spans="1:16" x14ac:dyDescent="0.15">
      <c r="A22" s="42">
        <v>10</v>
      </c>
      <c r="B22" s="43">
        <v>42534</v>
      </c>
      <c r="C22" s="44" t="s">
        <v>42</v>
      </c>
      <c r="D22" s="42" t="s">
        <v>49</v>
      </c>
      <c r="E22" s="45" t="s">
        <v>55</v>
      </c>
      <c r="F22" s="46" t="s">
        <v>39</v>
      </c>
      <c r="G22" s="47" t="s">
        <v>48</v>
      </c>
      <c r="H22" s="48">
        <v>1</v>
      </c>
      <c r="I22" s="46" t="s">
        <v>39</v>
      </c>
      <c r="J22" s="49">
        <v>3</v>
      </c>
      <c r="K22" s="57">
        <f>IF(OR(Resultat!H22="",H22="",Resultat!J22="",J22=""),"",IF((H22=Resultat!H22)*(J22=Resultat!J22),Resultat!$AA$3+Resultat!$AA$4,IF(((H22-J22)&gt;0)*((Resultat!H22-Resultat!J22)&gt;0),Resultat!$AA$3,IF(((H22-J22)&lt;0)*((Resultat!H22-Resultat!J22)&lt;0),Resultat!$AA$3,IF(((H22-J22)=0)*((Resultat!H22-Resultat!J22)=0),Resultat!$AA$3,0)))))</f>
        <v>0</v>
      </c>
      <c r="L22" s="69">
        <f t="shared" si="0"/>
        <v>2</v>
      </c>
    </row>
    <row r="23" spans="1:16" x14ac:dyDescent="0.15">
      <c r="A23" s="42">
        <v>11</v>
      </c>
      <c r="B23" s="43">
        <v>42535</v>
      </c>
      <c r="C23" s="44" t="s">
        <v>41</v>
      </c>
      <c r="D23" s="42" t="s">
        <v>52</v>
      </c>
      <c r="E23" s="45" t="s">
        <v>71</v>
      </c>
      <c r="F23" s="46" t="s">
        <v>39</v>
      </c>
      <c r="G23" s="47" t="s">
        <v>72</v>
      </c>
      <c r="H23" s="48">
        <v>1</v>
      </c>
      <c r="I23" s="46" t="s">
        <v>39</v>
      </c>
      <c r="J23" s="49">
        <v>3</v>
      </c>
      <c r="K23" s="57">
        <f>IF(OR(Resultat!H23="",H23="",Resultat!J23="",J23=""),"",IF((H23=Resultat!H23)*(J23=Resultat!J23),Resultat!$AA$3+Resultat!$AA$4,IF(((H23-J23)&gt;0)*((Resultat!H23-Resultat!J23)&gt;0),Resultat!$AA$3,IF(((H23-J23)&lt;0)*((Resultat!H23-Resultat!J23)&lt;0),Resultat!$AA$3,IF(((H23-J23)=0)*((Resultat!H23-Resultat!J23)=0),Resultat!$AA$3,0)))))</f>
        <v>0</v>
      </c>
      <c r="L23" s="69">
        <f t="shared" si="0"/>
        <v>2</v>
      </c>
    </row>
    <row r="24" spans="1:16" x14ac:dyDescent="0.15">
      <c r="A24" s="42">
        <v>12</v>
      </c>
      <c r="B24" s="43">
        <v>42535</v>
      </c>
      <c r="C24" s="44" t="s">
        <v>42</v>
      </c>
      <c r="D24" s="42" t="s">
        <v>52</v>
      </c>
      <c r="E24" s="45" t="s">
        <v>54</v>
      </c>
      <c r="F24" s="46" t="s">
        <v>39</v>
      </c>
      <c r="G24" s="47" t="s">
        <v>73</v>
      </c>
      <c r="H24" s="48">
        <v>1</v>
      </c>
      <c r="I24" s="46" t="s">
        <v>39</v>
      </c>
      <c r="J24" s="49">
        <v>3</v>
      </c>
      <c r="K24" s="57">
        <f>IF(OR(Resultat!H24="",H24="",Resultat!J24="",J24=""),"",IF((H24=Resultat!H24)*(J24=Resultat!J24),Resultat!$AA$3+Resultat!$AA$4,IF(((H24-J24)&gt;0)*((Resultat!H24-Resultat!J24)&gt;0),Resultat!$AA$3,IF(((H24-J24)&lt;0)*((Resultat!H24-Resultat!J24)&lt;0),Resultat!$AA$3,IF(((H24-J24)=0)*((Resultat!H24-Resultat!J24)=0),Resultat!$AA$3,0)))))</f>
        <v>2</v>
      </c>
      <c r="L24" s="69">
        <f t="shared" si="0"/>
        <v>2</v>
      </c>
    </row>
    <row r="25" spans="1:16" x14ac:dyDescent="0.15">
      <c r="A25" s="42">
        <v>13</v>
      </c>
      <c r="B25" s="43">
        <v>42536</v>
      </c>
      <c r="C25" s="44" t="s">
        <v>59</v>
      </c>
      <c r="D25" s="42" t="s">
        <v>43</v>
      </c>
      <c r="E25" s="45" t="s">
        <v>56</v>
      </c>
      <c r="F25" s="46" t="s">
        <v>39</v>
      </c>
      <c r="G25" s="47" t="s">
        <v>63</v>
      </c>
      <c r="H25" s="48">
        <v>1</v>
      </c>
      <c r="I25" s="46" t="s">
        <v>39</v>
      </c>
      <c r="J25" s="49">
        <v>3</v>
      </c>
      <c r="K25" s="57">
        <f>IF(OR(Resultat!H25="",H25="",Resultat!J25="",J25=""),"",IF((H25=Resultat!H25)*(J25=Resultat!J25),Resultat!$AA$3+Resultat!$AA$4,IF(((H25-J25)&gt;0)*((Resultat!H25-Resultat!J25)&gt;0),Resultat!$AA$3,IF(((H25-J25)&lt;0)*((Resultat!H25-Resultat!J25)&lt;0),Resultat!$AA$3,IF(((H25-J25)=0)*((Resultat!H25-Resultat!J25)=0),Resultat!$AA$3,0)))))</f>
        <v>0</v>
      </c>
      <c r="L25" s="69">
        <f t="shared" si="0"/>
        <v>2</v>
      </c>
    </row>
    <row r="26" spans="1:16" x14ac:dyDescent="0.15">
      <c r="A26" s="42">
        <v>14</v>
      </c>
      <c r="B26" s="43">
        <v>42536</v>
      </c>
      <c r="C26" s="44" t="s">
        <v>41</v>
      </c>
      <c r="D26" s="42" t="s">
        <v>38</v>
      </c>
      <c r="E26" s="45" t="s">
        <v>60</v>
      </c>
      <c r="F26" s="46" t="s">
        <v>39</v>
      </c>
      <c r="G26" s="47" t="s">
        <v>50</v>
      </c>
      <c r="H26" s="48">
        <v>1</v>
      </c>
      <c r="I26" s="46" t="s">
        <v>39</v>
      </c>
      <c r="J26" s="49">
        <v>3</v>
      </c>
      <c r="K26" s="57">
        <f>IF(OR(Resultat!H26="",H26="",Resultat!J26="",J26=""),"",IF((H26=Resultat!H26)*(J26=Resultat!J26),Resultat!$AA$3+Resultat!$AA$4,IF(((H26-J26)&gt;0)*((Resultat!H26-Resultat!J26)&gt;0),Resultat!$AA$3,IF(((H26-J26)&lt;0)*((Resultat!H26-Resultat!J26)&lt;0),Resultat!$AA$3,IF(((H26-J26)=0)*((Resultat!H26-Resultat!J26)=0),Resultat!$AA$3,0)))))</f>
        <v>0</v>
      </c>
      <c r="L26" s="69">
        <f t="shared" si="0"/>
        <v>2</v>
      </c>
    </row>
    <row r="27" spans="1:16" x14ac:dyDescent="0.15">
      <c r="A27" s="42">
        <v>15</v>
      </c>
      <c r="B27" s="43">
        <v>42536</v>
      </c>
      <c r="C27" s="44" t="s">
        <v>42</v>
      </c>
      <c r="D27" s="42" t="s">
        <v>38</v>
      </c>
      <c r="E27" s="45" t="s">
        <v>51</v>
      </c>
      <c r="F27" s="46" t="s">
        <v>39</v>
      </c>
      <c r="G27" s="47" t="s">
        <v>61</v>
      </c>
      <c r="H27" s="48">
        <v>1</v>
      </c>
      <c r="I27" s="46" t="s">
        <v>39</v>
      </c>
      <c r="J27" s="49">
        <v>3</v>
      </c>
      <c r="K27" s="57">
        <f>IF(OR(Resultat!H27="",H27="",Resultat!J27="",J27=""),"",IF((H27=Resultat!H27)*(J27=Resultat!J27),Resultat!$AA$3+Resultat!$AA$4,IF(((H27-J27)&gt;0)*((Resultat!H27-Resultat!J27)&gt;0),Resultat!$AA$3,IF(((H27-J27)&lt;0)*((Resultat!H27-Resultat!J27)&lt;0),Resultat!$AA$3,IF(((H27-J27)=0)*((Resultat!H27-Resultat!J27)=0),Resultat!$AA$3,0)))))</f>
        <v>0</v>
      </c>
      <c r="L27" s="69">
        <f t="shared" si="0"/>
        <v>2</v>
      </c>
    </row>
    <row r="28" spans="1:16" x14ac:dyDescent="0.15">
      <c r="A28" s="42">
        <v>16</v>
      </c>
      <c r="B28" s="43">
        <v>42537</v>
      </c>
      <c r="C28" s="44" t="s">
        <v>59</v>
      </c>
      <c r="D28" s="42" t="s">
        <v>43</v>
      </c>
      <c r="E28" s="45" t="s">
        <v>47</v>
      </c>
      <c r="F28" s="46" t="s">
        <v>39</v>
      </c>
      <c r="G28" s="47" t="s">
        <v>62</v>
      </c>
      <c r="H28" s="48">
        <v>1</v>
      </c>
      <c r="I28" s="46" t="s">
        <v>39</v>
      </c>
      <c r="J28" s="49">
        <v>3</v>
      </c>
      <c r="K28" s="57">
        <f>IF(OR(Resultat!H28="",H28="",Resultat!J28="",J28=""),"",IF((H28=Resultat!H28)*(J28=Resultat!J28),Resultat!$AA$3+Resultat!$AA$4,IF(((H28-J28)&gt;0)*((Resultat!H28-Resultat!J28)&gt;0),Resultat!$AA$3,IF(((H28-J28)&lt;0)*((Resultat!H28-Resultat!J28)&lt;0),Resultat!$AA$3,IF(((H28-J28)=0)*((Resultat!H28-Resultat!J28)=0),Resultat!$AA$3,0)))))</f>
        <v>0</v>
      </c>
      <c r="L28" s="69">
        <f t="shared" si="0"/>
        <v>2</v>
      </c>
    </row>
    <row r="29" spans="1:16" x14ac:dyDescent="0.15">
      <c r="A29" s="42">
        <v>17</v>
      </c>
      <c r="B29" s="43">
        <v>42537</v>
      </c>
      <c r="C29" s="44" t="s">
        <v>41</v>
      </c>
      <c r="D29" s="42" t="s">
        <v>45</v>
      </c>
      <c r="E29" s="45" t="s">
        <v>67</v>
      </c>
      <c r="F29" s="46" t="s">
        <v>39</v>
      </c>
      <c r="G29" s="47" t="s">
        <v>66</v>
      </c>
      <c r="H29" s="48">
        <v>1</v>
      </c>
      <c r="I29" s="46" t="s">
        <v>39</v>
      </c>
      <c r="J29" s="49">
        <v>3</v>
      </c>
      <c r="K29" s="57">
        <f>IF(OR(Resultat!H29="",H29="",Resultat!J29="",J29=""),"",IF((H29=Resultat!H29)*(J29=Resultat!J29),Resultat!$AA$3+Resultat!$AA$4,IF(((H29-J29)&gt;0)*((Resultat!H29-Resultat!J29)&gt;0),Resultat!$AA$3,IF(((H29-J29)&lt;0)*((Resultat!H29-Resultat!J29)&lt;0),Resultat!$AA$3,IF(((H29-J29)=0)*((Resultat!H29-Resultat!J29)=0),Resultat!$AA$3,0)))))</f>
        <v>2</v>
      </c>
      <c r="L29" s="69">
        <f t="shared" si="0"/>
        <v>2</v>
      </c>
    </row>
    <row r="30" spans="1:16" x14ac:dyDescent="0.15">
      <c r="A30" s="42">
        <v>18</v>
      </c>
      <c r="B30" s="43">
        <v>42537</v>
      </c>
      <c r="C30" s="44" t="s">
        <v>42</v>
      </c>
      <c r="D30" s="42" t="s">
        <v>45</v>
      </c>
      <c r="E30" s="45" t="s">
        <v>53</v>
      </c>
      <c r="F30" s="46" t="s">
        <v>39</v>
      </c>
      <c r="G30" s="47" t="s">
        <v>65</v>
      </c>
      <c r="H30" s="48">
        <v>1</v>
      </c>
      <c r="I30" s="46" t="s">
        <v>39</v>
      </c>
      <c r="J30" s="49">
        <v>3</v>
      </c>
      <c r="K30" s="57">
        <f>IF(OR(Resultat!H30="",H30="",Resultat!J30="",J30=""),"",IF((H30=Resultat!H30)*(J30=Resultat!J30),Resultat!$AA$3+Resultat!$AA$4,IF(((H30-J30)&gt;0)*((Resultat!H30-Resultat!J30)&gt;0),Resultat!$AA$3,IF(((H30-J30)&lt;0)*((Resultat!H30-Resultat!J30)&lt;0),Resultat!$AA$3,IF(((H30-J30)=0)*((Resultat!H30-Resultat!J30)=0),Resultat!$AA$3,0)))))</f>
        <v>0</v>
      </c>
      <c r="L30" s="69">
        <f t="shared" si="0"/>
        <v>2</v>
      </c>
    </row>
    <row r="31" spans="1:16" x14ac:dyDescent="0.15">
      <c r="A31" s="42">
        <v>19</v>
      </c>
      <c r="B31" s="43">
        <v>42538</v>
      </c>
      <c r="C31" s="44" t="s">
        <v>59</v>
      </c>
      <c r="D31" s="42" t="s">
        <v>49</v>
      </c>
      <c r="E31" s="45" t="s">
        <v>48</v>
      </c>
      <c r="F31" s="46" t="s">
        <v>39</v>
      </c>
      <c r="G31" s="47" t="s">
        <v>70</v>
      </c>
      <c r="H31" s="48">
        <v>1</v>
      </c>
      <c r="I31" s="46" t="s">
        <v>39</v>
      </c>
      <c r="J31" s="49">
        <v>3</v>
      </c>
      <c r="K31" s="57">
        <f>IF(OR(Resultat!H31="",H31="",Resultat!J31="",J31=""),"",IF((H31=Resultat!H31)*(J31=Resultat!J31),Resultat!$AA$3+Resultat!$AA$4,IF(((H31-J31)&gt;0)*((Resultat!H31-Resultat!J31)&gt;0),Resultat!$AA$3,IF(((H31-J31)&lt;0)*((Resultat!H31-Resultat!J31)&lt;0),Resultat!$AA$3,IF(((H31-J31)=0)*((Resultat!H31-Resultat!J31)=0),Resultat!$AA$3,0)))))</f>
        <v>0</v>
      </c>
      <c r="L31" s="69">
        <f t="shared" si="0"/>
        <v>2</v>
      </c>
    </row>
    <row r="32" spans="1:16" x14ac:dyDescent="0.15">
      <c r="A32" s="42">
        <v>20</v>
      </c>
      <c r="B32" s="43">
        <v>42538</v>
      </c>
      <c r="C32" s="50" t="s">
        <v>41</v>
      </c>
      <c r="D32" s="42" t="s">
        <v>46</v>
      </c>
      <c r="E32" s="45" t="s">
        <v>68</v>
      </c>
      <c r="F32" s="46" t="s">
        <v>39</v>
      </c>
      <c r="G32" s="47" t="s">
        <v>40</v>
      </c>
      <c r="H32" s="48">
        <v>1</v>
      </c>
      <c r="I32" s="46" t="s">
        <v>39</v>
      </c>
      <c r="J32" s="49">
        <v>3</v>
      </c>
      <c r="K32" s="57">
        <f>IF(OR(Resultat!H32="",H32="",Resultat!J32="",J32=""),"",IF((H32=Resultat!H32)*(J32=Resultat!J32),Resultat!$AA$3+Resultat!$AA$4,IF(((H32-J32)&gt;0)*((Resultat!H32-Resultat!J32)&gt;0),Resultat!$AA$3,IF(((H32-J32)&lt;0)*((Resultat!H32-Resultat!J32)&lt;0),Resultat!$AA$3,IF(((H32-J32)=0)*((Resultat!H32-Resultat!J32)=0),Resultat!$AA$3,0)))))</f>
        <v>0</v>
      </c>
      <c r="L32" s="69">
        <f t="shared" si="0"/>
        <v>2</v>
      </c>
    </row>
    <row r="33" spans="1:12" x14ac:dyDescent="0.15">
      <c r="A33" s="42">
        <v>21</v>
      </c>
      <c r="B33" s="43">
        <v>42538</v>
      </c>
      <c r="C33" s="44" t="s">
        <v>42</v>
      </c>
      <c r="D33" s="42" t="s">
        <v>46</v>
      </c>
      <c r="E33" s="45" t="s">
        <v>44</v>
      </c>
      <c r="F33" s="46" t="s">
        <v>39</v>
      </c>
      <c r="G33" s="47" t="s">
        <v>64</v>
      </c>
      <c r="H33" s="48">
        <v>1</v>
      </c>
      <c r="I33" s="46" t="s">
        <v>39</v>
      </c>
      <c r="J33" s="49">
        <v>3</v>
      </c>
      <c r="K33" s="57">
        <f>IF(OR(Resultat!H33="",H33="",Resultat!J33="",J33=""),"",IF((H33=Resultat!H33)*(J33=Resultat!J33),Resultat!$AA$3+Resultat!$AA$4,IF(((H33-J33)&gt;0)*((Resultat!H33-Resultat!J33)&gt;0),Resultat!$AA$3,IF(((H33-J33)&lt;0)*((Resultat!H33-Resultat!J33)&lt;0),Resultat!$AA$3,IF(((H33-J33)=0)*((Resultat!H33-Resultat!J33)=0),Resultat!$AA$3,0)))))</f>
        <v>2</v>
      </c>
      <c r="L33" s="69">
        <f t="shared" si="0"/>
        <v>2</v>
      </c>
    </row>
    <row r="34" spans="1:12" x14ac:dyDescent="0.15">
      <c r="A34" s="42">
        <v>22</v>
      </c>
      <c r="B34" s="43">
        <v>42539</v>
      </c>
      <c r="C34" s="44" t="s">
        <v>59</v>
      </c>
      <c r="D34" s="42" t="s">
        <v>49</v>
      </c>
      <c r="E34" s="45" t="s">
        <v>55</v>
      </c>
      <c r="F34" s="46" t="s">
        <v>39</v>
      </c>
      <c r="G34" s="47" t="s">
        <v>69</v>
      </c>
      <c r="H34" s="48">
        <v>1</v>
      </c>
      <c r="I34" s="46" t="s">
        <v>39</v>
      </c>
      <c r="J34" s="49">
        <v>3</v>
      </c>
      <c r="K34" s="57">
        <f>IF(OR(Resultat!H34="",H34="",Resultat!J34="",J34=""),"",IF((H34=Resultat!H34)*(J34=Resultat!J34),Resultat!$AA$3+Resultat!$AA$4,IF(((H34-J34)&gt;0)*((Resultat!H34-Resultat!J34)&gt;0),Resultat!$AA$3,IF(((H34-J34)&lt;0)*((Resultat!H34-Resultat!J34)&lt;0),Resultat!$AA$3,IF(((H34-J34)=0)*((Resultat!H34-Resultat!J34)=0),Resultat!$AA$3,0)))))</f>
        <v>2</v>
      </c>
      <c r="L34" s="69">
        <f t="shared" si="0"/>
        <v>2</v>
      </c>
    </row>
    <row r="35" spans="1:12" x14ac:dyDescent="0.15">
      <c r="A35" s="42">
        <v>23</v>
      </c>
      <c r="B35" s="43">
        <v>42539</v>
      </c>
      <c r="C35" s="44" t="s">
        <v>41</v>
      </c>
      <c r="D35" s="42" t="s">
        <v>52</v>
      </c>
      <c r="E35" s="45" t="s">
        <v>73</v>
      </c>
      <c r="F35" s="46" t="s">
        <v>39</v>
      </c>
      <c r="G35" s="47" t="s">
        <v>72</v>
      </c>
      <c r="H35" s="48">
        <v>1</v>
      </c>
      <c r="I35" s="46" t="s">
        <v>39</v>
      </c>
      <c r="J35" s="49">
        <v>3</v>
      </c>
      <c r="K35" s="57">
        <f>IF(OR(Resultat!H35="",H35="",Resultat!J35="",J35=""),"",IF((H35=Resultat!H35)*(J35=Resultat!J35),Resultat!$AA$3+Resultat!$AA$4,IF(((H35-J35)&gt;0)*((Resultat!H35-Resultat!J35)&gt;0),Resultat!$AA$3,IF(((H35-J35)&lt;0)*((Resultat!H35-Resultat!J35)&lt;0),Resultat!$AA$3,IF(((H35-J35)=0)*((Resultat!H35-Resultat!J35)=0),Resultat!$AA$3,0)))))</f>
        <v>0</v>
      </c>
      <c r="L35" s="69">
        <f t="shared" si="0"/>
        <v>2</v>
      </c>
    </row>
    <row r="36" spans="1:12" x14ac:dyDescent="0.15">
      <c r="A36" s="42">
        <v>24</v>
      </c>
      <c r="B36" s="43">
        <v>42539</v>
      </c>
      <c r="C36" s="44" t="s">
        <v>42</v>
      </c>
      <c r="D36" s="42" t="s">
        <v>52</v>
      </c>
      <c r="E36" s="45" t="s">
        <v>54</v>
      </c>
      <c r="F36" s="46" t="s">
        <v>39</v>
      </c>
      <c r="G36" s="47" t="s">
        <v>71</v>
      </c>
      <c r="H36" s="48">
        <v>1</v>
      </c>
      <c r="I36" s="46" t="s">
        <v>39</v>
      </c>
      <c r="J36" s="49">
        <v>3</v>
      </c>
      <c r="K36" s="57">
        <f>IF(OR(Resultat!H36="",H36="",Resultat!J36="",J36=""),"",IF((H36=Resultat!H36)*(J36=Resultat!J36),Resultat!$AA$3+Resultat!$AA$4,IF(((H36-J36)&gt;0)*((Resultat!H36-Resultat!J36)&gt;0),Resultat!$AA$3,IF(((H36-J36)&lt;0)*((Resultat!H36-Resultat!J36)&lt;0),Resultat!$AA$3,IF(((H36-J36)=0)*((Resultat!H36-Resultat!J36)=0),Resultat!$AA$3,0)))))</f>
        <v>2</v>
      </c>
      <c r="L36" s="69">
        <f t="shared" si="0"/>
        <v>2</v>
      </c>
    </row>
    <row r="37" spans="1:12" x14ac:dyDescent="0.15">
      <c r="A37" s="42">
        <v>25</v>
      </c>
      <c r="B37" s="43">
        <v>42540</v>
      </c>
      <c r="C37" s="44" t="s">
        <v>42</v>
      </c>
      <c r="D37" s="42" t="s">
        <v>38</v>
      </c>
      <c r="E37" s="45" t="s">
        <v>50</v>
      </c>
      <c r="F37" s="46" t="s">
        <v>39</v>
      </c>
      <c r="G37" s="47" t="s">
        <v>51</v>
      </c>
      <c r="H37" s="48">
        <v>1</v>
      </c>
      <c r="I37" s="46" t="s">
        <v>39</v>
      </c>
      <c r="J37" s="49">
        <v>3</v>
      </c>
      <c r="K37" s="57">
        <f>IF(OR(Resultat!H37="",H37="",Resultat!J37="",J37=""),"",IF((H37=Resultat!H37)*(J37=Resultat!J37),Resultat!$AA$3+Resultat!$AA$4,IF(((H37-J37)&gt;0)*((Resultat!H37-Resultat!J37)&gt;0),Resultat!$AA$3,IF(((H37-J37)&lt;0)*((Resultat!H37-Resultat!J37)&lt;0),Resultat!$AA$3,IF(((H37-J37)=0)*((Resultat!H37-Resultat!J37)=0),Resultat!$AA$3,0)))))</f>
        <v>0</v>
      </c>
      <c r="L37" s="69">
        <f t="shared" si="0"/>
        <v>2</v>
      </c>
    </row>
    <row r="38" spans="1:12" x14ac:dyDescent="0.15">
      <c r="A38" s="42">
        <v>26</v>
      </c>
      <c r="B38" s="43">
        <v>42540</v>
      </c>
      <c r="C38" s="44" t="s">
        <v>42</v>
      </c>
      <c r="D38" s="42" t="s">
        <v>38</v>
      </c>
      <c r="E38" s="45" t="s">
        <v>60</v>
      </c>
      <c r="F38" s="46" t="s">
        <v>39</v>
      </c>
      <c r="G38" s="47" t="s">
        <v>61</v>
      </c>
      <c r="H38" s="48">
        <v>1</v>
      </c>
      <c r="I38" s="46" t="s">
        <v>39</v>
      </c>
      <c r="J38" s="49">
        <v>3</v>
      </c>
      <c r="K38" s="57">
        <f>IF(OR(Resultat!H38="",H38="",Resultat!J38="",J38=""),"",IF((H38=Resultat!H38)*(J38=Resultat!J38),Resultat!$AA$3+Resultat!$AA$4,IF(((H38-J38)&gt;0)*((Resultat!H38-Resultat!J38)&gt;0),Resultat!$AA$3,IF(((H38-J38)&lt;0)*((Resultat!H38-Resultat!J38)&lt;0),Resultat!$AA$3,IF(((H38-J38)=0)*((Resultat!H38-Resultat!J38)=0),Resultat!$AA$3,0)))))</f>
        <v>0</v>
      </c>
      <c r="L38" s="69">
        <f t="shared" si="0"/>
        <v>2</v>
      </c>
    </row>
    <row r="39" spans="1:12" x14ac:dyDescent="0.15">
      <c r="A39" s="42">
        <v>27</v>
      </c>
      <c r="B39" s="43">
        <v>42541</v>
      </c>
      <c r="C39" s="44" t="s">
        <v>42</v>
      </c>
      <c r="D39" s="42" t="s">
        <v>43</v>
      </c>
      <c r="E39" s="45" t="s">
        <v>63</v>
      </c>
      <c r="F39" s="46" t="s">
        <v>39</v>
      </c>
      <c r="G39" s="47" t="s">
        <v>47</v>
      </c>
      <c r="H39" s="48">
        <v>1</v>
      </c>
      <c r="I39" s="46" t="s">
        <v>39</v>
      </c>
      <c r="J39" s="49">
        <v>3</v>
      </c>
      <c r="K39" s="57">
        <f>IF(OR(Resultat!H39="",H39="",Resultat!J39="",J39=""),"",IF((H39=Resultat!H39)*(J39=Resultat!J39),Resultat!$AA$3+Resultat!$AA$4,IF(((H39-J39)&gt;0)*((Resultat!H39-Resultat!J39)&gt;0),Resultat!$AA$3,IF(((H39-J39)&lt;0)*((Resultat!H39-Resultat!J39)&lt;0),Resultat!$AA$3,IF(((H39-J39)=0)*((Resultat!H39-Resultat!J39)=0),Resultat!$AA$3,0)))))</f>
        <v>0</v>
      </c>
      <c r="L39" s="69">
        <f t="shared" si="0"/>
        <v>2</v>
      </c>
    </row>
    <row r="40" spans="1:12" x14ac:dyDescent="0.15">
      <c r="A40" s="42">
        <v>28</v>
      </c>
      <c r="B40" s="43">
        <v>42541</v>
      </c>
      <c r="C40" s="44" t="s">
        <v>42</v>
      </c>
      <c r="D40" s="42" t="s">
        <v>43</v>
      </c>
      <c r="E40" s="45" t="s">
        <v>56</v>
      </c>
      <c r="F40" s="46" t="s">
        <v>39</v>
      </c>
      <c r="G40" s="47" t="s">
        <v>62</v>
      </c>
      <c r="H40" s="48">
        <v>1</v>
      </c>
      <c r="I40" s="46" t="s">
        <v>39</v>
      </c>
      <c r="J40" s="49">
        <v>3</v>
      </c>
      <c r="K40" s="57">
        <f>IF(OR(Resultat!H40="",H40="",Resultat!J40="",J40=""),"",IF((H40=Resultat!H40)*(J40=Resultat!J40),Resultat!$AA$3+Resultat!$AA$4,IF(((H40-J40)&gt;0)*((Resultat!H40-Resultat!J40)&gt;0),Resultat!$AA$3,IF(((H40-J40)&lt;0)*((Resultat!H40-Resultat!J40)&lt;0),Resultat!$AA$3,IF(((H40-J40)=0)*((Resultat!H40-Resultat!J40)=0),Resultat!$AA$3,0)))))</f>
        <v>2</v>
      </c>
      <c r="L40" s="69">
        <f t="shared" si="0"/>
        <v>2</v>
      </c>
    </row>
    <row r="41" spans="1:12" x14ac:dyDescent="0.15">
      <c r="A41" s="42">
        <v>29</v>
      </c>
      <c r="B41" s="43">
        <v>42542</v>
      </c>
      <c r="C41" s="44" t="s">
        <v>41</v>
      </c>
      <c r="D41" s="42" t="s">
        <v>45</v>
      </c>
      <c r="E41" s="45" t="s">
        <v>66</v>
      </c>
      <c r="F41" s="46" t="s">
        <v>39</v>
      </c>
      <c r="G41" s="47" t="s">
        <v>53</v>
      </c>
      <c r="H41" s="48">
        <v>1</v>
      </c>
      <c r="I41" s="46" t="s">
        <v>39</v>
      </c>
      <c r="J41" s="49">
        <v>3</v>
      </c>
      <c r="K41" s="57">
        <f>IF(OR(Resultat!H41="",H41="",Resultat!J41="",J41=""),"",IF((H41=Resultat!H41)*(J41=Resultat!J41),Resultat!$AA$3+Resultat!$AA$4,IF(((H41-J41)&gt;0)*((Resultat!H41-Resultat!J41)&gt;0),Resultat!$AA$3,IF(((H41-J41)&lt;0)*((Resultat!H41-Resultat!J41)&lt;0),Resultat!$AA$3,IF(((H41-J41)=0)*((Resultat!H41-Resultat!J41)=0),Resultat!$AA$3,0)))))</f>
        <v>0</v>
      </c>
      <c r="L41" s="69">
        <f t="shared" si="0"/>
        <v>2</v>
      </c>
    </row>
    <row r="42" spans="1:12" x14ac:dyDescent="0.15">
      <c r="A42" s="42">
        <v>30</v>
      </c>
      <c r="B42" s="43">
        <v>42542</v>
      </c>
      <c r="C42" s="44" t="s">
        <v>41</v>
      </c>
      <c r="D42" s="42" t="s">
        <v>45</v>
      </c>
      <c r="E42" s="45" t="s">
        <v>67</v>
      </c>
      <c r="F42" s="46" t="s">
        <v>39</v>
      </c>
      <c r="G42" s="47" t="s">
        <v>65</v>
      </c>
      <c r="H42" s="48">
        <v>1</v>
      </c>
      <c r="I42" s="46" t="s">
        <v>39</v>
      </c>
      <c r="J42" s="49">
        <v>3</v>
      </c>
      <c r="K42" s="57">
        <f>IF(OR(Resultat!H42="",H42="",Resultat!J42="",J42=""),"",IF((H42=Resultat!H42)*(J42=Resultat!J42),Resultat!$AA$3+Resultat!$AA$4,IF(((H42-J42)&gt;0)*((Resultat!H42-Resultat!J42)&gt;0),Resultat!$AA$3,IF(((H42-J42)&lt;0)*((Resultat!H42-Resultat!J42)&lt;0),Resultat!$AA$3,IF(((H42-J42)=0)*((Resultat!H42-Resultat!J42)=0),Resultat!$AA$3,0)))))</f>
        <v>0</v>
      </c>
      <c r="L42" s="69">
        <f t="shared" si="0"/>
        <v>2</v>
      </c>
    </row>
    <row r="43" spans="1:12" x14ac:dyDescent="0.15">
      <c r="A43" s="42">
        <v>31</v>
      </c>
      <c r="B43" s="43">
        <v>42542</v>
      </c>
      <c r="C43" s="44" t="s">
        <v>42</v>
      </c>
      <c r="D43" s="42" t="s">
        <v>46</v>
      </c>
      <c r="E43" s="45" t="s">
        <v>40</v>
      </c>
      <c r="F43" s="46" t="s">
        <v>39</v>
      </c>
      <c r="G43" s="47" t="s">
        <v>44</v>
      </c>
      <c r="H43" s="48">
        <v>1</v>
      </c>
      <c r="I43" s="46" t="s">
        <v>39</v>
      </c>
      <c r="J43" s="49">
        <v>3</v>
      </c>
      <c r="K43" s="57">
        <f>IF(OR(Resultat!H43="",H43="",Resultat!J43="",J43=""),"",IF((H43=Resultat!H43)*(J43=Resultat!J43),Resultat!$AA$3+Resultat!$AA$4,IF(((H43-J43)&gt;0)*((Resultat!H43-Resultat!J43)&gt;0),Resultat!$AA$3,IF(((H43-J43)&lt;0)*((Resultat!H43-Resultat!J43)&lt;0),Resultat!$AA$3,IF(((H43-J43)=0)*((Resultat!H43-Resultat!J43)=0),Resultat!$AA$3,0)))))</f>
        <v>0</v>
      </c>
      <c r="L43" s="69">
        <f t="shared" si="0"/>
        <v>2</v>
      </c>
    </row>
    <row r="44" spans="1:12" x14ac:dyDescent="0.15">
      <c r="A44" s="42">
        <v>32</v>
      </c>
      <c r="B44" s="43">
        <v>42542</v>
      </c>
      <c r="C44" s="44" t="s">
        <v>42</v>
      </c>
      <c r="D44" s="42" t="s">
        <v>46</v>
      </c>
      <c r="E44" s="45" t="s">
        <v>68</v>
      </c>
      <c r="F44" s="46" t="s">
        <v>39</v>
      </c>
      <c r="G44" s="47" t="s">
        <v>64</v>
      </c>
      <c r="H44" s="48">
        <v>1</v>
      </c>
      <c r="I44" s="46" t="s">
        <v>39</v>
      </c>
      <c r="J44" s="49">
        <v>3</v>
      </c>
      <c r="K44" s="57" t="str">
        <f>IF(OR(Resultat!H44="",H44="",Resultat!J44="",J44=""),"",IF((H44=Resultat!H44)*(J44=Resultat!J44),Resultat!$AA$3+Resultat!$AA$4,IF(((H44-J44)&gt;0)*((Resultat!H44-Resultat!J44)&gt;0),Resultat!$AA$3,IF(((H44-J44)&lt;0)*((Resultat!H44-Resultat!J44)&lt;0),Resultat!$AA$3,IF(((H44-J44)=0)*((Resultat!H44-Resultat!J44)=0),Resultat!$AA$3,0)))))</f>
        <v/>
      </c>
      <c r="L44" s="69">
        <f t="shared" si="0"/>
        <v>2</v>
      </c>
    </row>
    <row r="45" spans="1:12" x14ac:dyDescent="0.15">
      <c r="A45" s="42">
        <v>33</v>
      </c>
      <c r="B45" s="43">
        <v>42543</v>
      </c>
      <c r="C45" s="44" t="s">
        <v>41</v>
      </c>
      <c r="D45" s="42" t="s">
        <v>52</v>
      </c>
      <c r="E45" s="45" t="s">
        <v>72</v>
      </c>
      <c r="F45" s="46" t="s">
        <v>39</v>
      </c>
      <c r="G45" s="47" t="s">
        <v>54</v>
      </c>
      <c r="H45" s="48">
        <v>1</v>
      </c>
      <c r="I45" s="46" t="s">
        <v>39</v>
      </c>
      <c r="J45" s="49">
        <v>3</v>
      </c>
      <c r="K45" s="57" t="str">
        <f>IF(OR(Resultat!H45="",H45="",Resultat!J45="",J45=""),"",IF((H45=Resultat!H45)*(J45=Resultat!J45),Resultat!$AA$3+Resultat!$AA$4,IF(((H45-J45)&gt;0)*((Resultat!H45-Resultat!J45)&gt;0),Resultat!$AA$3,IF(((H45-J45)&lt;0)*((Resultat!H45-Resultat!J45)&lt;0),Resultat!$AA$3,IF(((H45-J45)=0)*((Resultat!H45-Resultat!J45)=0),Resultat!$AA$3,0)))))</f>
        <v/>
      </c>
      <c r="L45" s="69">
        <f t="shared" si="0"/>
        <v>2</v>
      </c>
    </row>
    <row r="46" spans="1:12" x14ac:dyDescent="0.15">
      <c r="A46" s="42">
        <v>34</v>
      </c>
      <c r="B46" s="43">
        <v>42543</v>
      </c>
      <c r="C46" s="44" t="s">
        <v>41</v>
      </c>
      <c r="D46" s="42" t="s">
        <v>52</v>
      </c>
      <c r="E46" s="45" t="s">
        <v>73</v>
      </c>
      <c r="F46" s="46" t="s">
        <v>39</v>
      </c>
      <c r="G46" s="47" t="s">
        <v>71</v>
      </c>
      <c r="H46" s="48">
        <v>1</v>
      </c>
      <c r="I46" s="46" t="s">
        <v>39</v>
      </c>
      <c r="J46" s="49">
        <v>3</v>
      </c>
      <c r="K46" s="57" t="str">
        <f>IF(OR(Resultat!H46="",H46="",Resultat!J46="",J46=""),"",IF((H46=Resultat!H46)*(J46=Resultat!J46),Resultat!$AA$3+Resultat!$AA$4,IF(((H46-J46)&gt;0)*((Resultat!H46-Resultat!J46)&gt;0),Resultat!$AA$3,IF(((H46-J46)&lt;0)*((Resultat!H46-Resultat!J46)&lt;0),Resultat!$AA$3,IF(((H46-J46)=0)*((Resultat!H46-Resultat!J46)=0),Resultat!$AA$3,0)))))</f>
        <v/>
      </c>
      <c r="L46" s="69">
        <f t="shared" si="0"/>
        <v>2</v>
      </c>
    </row>
    <row r="47" spans="1:12" x14ac:dyDescent="0.15">
      <c r="A47" s="42">
        <v>35</v>
      </c>
      <c r="B47" s="43">
        <v>42543</v>
      </c>
      <c r="C47" s="44" t="s">
        <v>42</v>
      </c>
      <c r="D47" s="42" t="s">
        <v>49</v>
      </c>
      <c r="E47" s="45" t="s">
        <v>70</v>
      </c>
      <c r="F47" s="46" t="s">
        <v>39</v>
      </c>
      <c r="G47" s="47" t="s">
        <v>55</v>
      </c>
      <c r="H47" s="48">
        <v>1</v>
      </c>
      <c r="I47" s="46" t="s">
        <v>39</v>
      </c>
      <c r="J47" s="49">
        <v>3</v>
      </c>
      <c r="K47" s="57" t="str">
        <f>IF(OR(Resultat!H47="",H47="",Resultat!J47="",J47=""),"",IF((H47=Resultat!H47)*(J47=Resultat!J47),Resultat!$AA$3+Resultat!$AA$4,IF(((H47-J47)&gt;0)*((Resultat!H47-Resultat!J47)&gt;0),Resultat!$AA$3,IF(((H47-J47)&lt;0)*((Resultat!H47-Resultat!J47)&lt;0),Resultat!$AA$3,IF(((H47-J47)=0)*((Resultat!H47-Resultat!J47)=0),Resultat!$AA$3,0)))))</f>
        <v/>
      </c>
      <c r="L47" s="69">
        <f t="shared" si="0"/>
        <v>2</v>
      </c>
    </row>
    <row r="48" spans="1:12" ht="14" thickBot="1" x14ac:dyDescent="0.2">
      <c r="A48" s="77">
        <v>36</v>
      </c>
      <c r="B48" s="78">
        <v>42543</v>
      </c>
      <c r="C48" s="79" t="s">
        <v>42</v>
      </c>
      <c r="D48" s="77" t="s">
        <v>49</v>
      </c>
      <c r="E48" s="80" t="s">
        <v>48</v>
      </c>
      <c r="F48" s="81" t="s">
        <v>39</v>
      </c>
      <c r="G48" s="82" t="s">
        <v>69</v>
      </c>
      <c r="H48" s="83">
        <v>1</v>
      </c>
      <c r="I48" s="81" t="s">
        <v>39</v>
      </c>
      <c r="J48" s="84">
        <v>0</v>
      </c>
      <c r="K48" s="85" t="str">
        <f>IF(OR(Resultat!H48="",H48="",Resultat!J48="",J48=""),"",IF((H48=Resultat!H48)*(J48=Resultat!J48),Resultat!$AA$3+Resultat!$AA$4,IF(((H48-J48)&gt;0)*((Resultat!H48-Resultat!J48)&gt;0),Resultat!$AA$3,IF(((H48-J48)&lt;0)*((Resultat!H48-Resultat!J48)&lt;0),Resultat!$AA$3,IF(((H48-J48)=0)*((Resultat!H48-Resultat!J48)=0),Resultat!$AA$3,0)))))</f>
        <v/>
      </c>
      <c r="L48" s="69">
        <f t="shared" si="0"/>
        <v>1</v>
      </c>
    </row>
    <row r="49" spans="1:12" x14ac:dyDescent="0.15">
      <c r="A49" s="42">
        <v>37</v>
      </c>
      <c r="B49" s="43">
        <v>42546</v>
      </c>
      <c r="C49" s="44" t="s">
        <v>41</v>
      </c>
      <c r="D49" s="70">
        <v>0.125</v>
      </c>
      <c r="E49" s="45"/>
      <c r="F49" s="46" t="s">
        <v>39</v>
      </c>
      <c r="G49" s="47"/>
      <c r="H49" s="48"/>
      <c r="I49" s="46" t="s">
        <v>39</v>
      </c>
      <c r="J49" s="49"/>
      <c r="K49" s="57" t="str">
        <f>IF(OR(Resultat!H49="",H49="",Resultat!J49="",J49=""),"",IF((H49=Resultat!H49)*(J49=Resultat!J49),Resultat!$M$4+Resultat!$AA$4,IF(((H49-J49)&gt;0)*((Resultat!H49-Resultat!J49)&gt;0),Resultat!$M$4,IF(((H49-J49)&lt;0)*((Resultat!H49-Resultat!J49)&lt;0),Resultat!$M$4,IF(((H49-J49)=0)*((Resultat!H49-Resultat!J49)=0),Resultat!$M$4,0)))))</f>
        <v/>
      </c>
      <c r="L49" s="69" t="str">
        <f t="shared" si="0"/>
        <v>x</v>
      </c>
    </row>
    <row r="50" spans="1:12" x14ac:dyDescent="0.15">
      <c r="A50" s="42">
        <v>38</v>
      </c>
      <c r="B50" s="43">
        <v>42546</v>
      </c>
      <c r="C50" s="44" t="s">
        <v>37</v>
      </c>
      <c r="D50" s="70">
        <v>0.125</v>
      </c>
      <c r="E50" s="45"/>
      <c r="F50" s="46" t="s">
        <v>39</v>
      </c>
      <c r="G50" s="47"/>
      <c r="H50" s="48"/>
      <c r="I50" s="46" t="s">
        <v>39</v>
      </c>
      <c r="J50" s="49"/>
      <c r="K50" s="57" t="str">
        <f>IF(OR(Resultat!H50="",H50="",Resultat!J50="",J50=""),"",IF((H50=Resultat!H50)*(J50=Resultat!J50),Resultat!$M$4+Resultat!$AA$4,IF(((H50-J50)&gt;0)*((Resultat!H50-Resultat!J50)&gt;0),Resultat!$M$4,IF(((H50-J50)&lt;0)*((Resultat!H50-Resultat!J50)&lt;0),Resultat!$M$4,IF(((H50-J50)=0)*((Resultat!H50-Resultat!J50)=0),Resultat!$M$4,0)))))</f>
        <v/>
      </c>
      <c r="L50" s="69" t="str">
        <f t="shared" si="0"/>
        <v>x</v>
      </c>
    </row>
    <row r="51" spans="1:12" x14ac:dyDescent="0.15">
      <c r="A51" s="42">
        <v>39</v>
      </c>
      <c r="B51" s="43">
        <v>42546</v>
      </c>
      <c r="C51" s="44" t="s">
        <v>41</v>
      </c>
      <c r="D51" s="70">
        <v>0.125</v>
      </c>
      <c r="E51" s="45"/>
      <c r="F51" s="46" t="s">
        <v>39</v>
      </c>
      <c r="G51" s="47"/>
      <c r="H51" s="48"/>
      <c r="I51" s="46" t="s">
        <v>39</v>
      </c>
      <c r="J51" s="49"/>
      <c r="K51" s="57" t="str">
        <f>IF(OR(Resultat!H51="",H51="",Resultat!J51="",J51=""),"",IF((H51=Resultat!H51)*(J51=Resultat!J51),Resultat!$M$4+Resultat!$AA$4,IF(((H51-J51)&gt;0)*((Resultat!H51-Resultat!J51)&gt;0),Resultat!$M$4,IF(((H51-J51)&lt;0)*((Resultat!H51-Resultat!J51)&lt;0),Resultat!$M$4,IF(((H51-J51)=0)*((Resultat!H51-Resultat!J51)=0),Resultat!$M$4,0)))))</f>
        <v/>
      </c>
      <c r="L51" s="69" t="str">
        <f t="shared" si="0"/>
        <v>x</v>
      </c>
    </row>
    <row r="52" spans="1:12" x14ac:dyDescent="0.15">
      <c r="A52" s="42">
        <v>40</v>
      </c>
      <c r="B52" s="43">
        <v>42547</v>
      </c>
      <c r="C52" s="44" t="s">
        <v>37</v>
      </c>
      <c r="D52" s="70">
        <v>0.125</v>
      </c>
      <c r="E52" s="45"/>
      <c r="F52" s="46" t="s">
        <v>39</v>
      </c>
      <c r="G52" s="47"/>
      <c r="H52" s="48"/>
      <c r="I52" s="46" t="s">
        <v>39</v>
      </c>
      <c r="J52" s="49"/>
      <c r="K52" s="57" t="str">
        <f>IF(OR(Resultat!H52="",H52="",Resultat!J52="",J52=""),"",IF((H52=Resultat!H52)*(J52=Resultat!J52),Resultat!$M$4+Resultat!$AA$4,IF(((H52-J52)&gt;0)*((Resultat!H52-Resultat!J52)&gt;0),Resultat!$M$4,IF(((H52-J52)&lt;0)*((Resultat!H52-Resultat!J52)&lt;0),Resultat!$M$4,IF(((H52-J52)=0)*((Resultat!H52-Resultat!J52)=0),Resultat!$M$4,0)))))</f>
        <v/>
      </c>
      <c r="L52" s="69" t="str">
        <f t="shared" si="0"/>
        <v>x</v>
      </c>
    </row>
    <row r="53" spans="1:12" x14ac:dyDescent="0.15">
      <c r="A53" s="42">
        <v>41</v>
      </c>
      <c r="B53" s="43">
        <v>42547</v>
      </c>
      <c r="C53" s="44" t="s">
        <v>41</v>
      </c>
      <c r="D53" s="70">
        <v>0.125</v>
      </c>
      <c r="E53" s="45"/>
      <c r="F53" s="46" t="s">
        <v>39</v>
      </c>
      <c r="G53" s="47"/>
      <c r="H53" s="48"/>
      <c r="I53" s="46" t="s">
        <v>39</v>
      </c>
      <c r="J53" s="49"/>
      <c r="K53" s="57" t="str">
        <f>IF(OR(Resultat!H53="",H53="",Resultat!J53="",J53=""),"",IF((H53=Resultat!H53)*(J53=Resultat!J53),Resultat!$M$4+Resultat!$AA$4,IF(((H53-J53)&gt;0)*((Resultat!H53-Resultat!J53)&gt;0),Resultat!$M$4,IF(((H53-J53)&lt;0)*((Resultat!H53-Resultat!J53)&lt;0),Resultat!$M$4,IF(((H53-J53)=0)*((Resultat!H53-Resultat!J53)=0),Resultat!$M$4,0)))))</f>
        <v/>
      </c>
      <c r="L53" s="69" t="str">
        <f t="shared" si="0"/>
        <v>x</v>
      </c>
    </row>
    <row r="54" spans="1:12" x14ac:dyDescent="0.15">
      <c r="A54" s="42">
        <v>42</v>
      </c>
      <c r="B54" s="43">
        <v>42547</v>
      </c>
      <c r="C54" s="44" t="s">
        <v>37</v>
      </c>
      <c r="D54" s="70">
        <v>0.125</v>
      </c>
      <c r="E54" s="45"/>
      <c r="F54" s="46" t="s">
        <v>39</v>
      </c>
      <c r="G54" s="47"/>
      <c r="H54" s="48"/>
      <c r="I54" s="46" t="s">
        <v>39</v>
      </c>
      <c r="J54" s="49"/>
      <c r="K54" s="57" t="str">
        <f>IF(OR(Resultat!H54="",H54="",Resultat!J54="",J54=""),"",IF((H54=Resultat!H54)*(J54=Resultat!J54),Resultat!$M$4+Resultat!$AA$4,IF(((H54-J54)&gt;0)*((Resultat!H54-Resultat!J54)&gt;0),Resultat!$M$4,IF(((H54-J54)&lt;0)*((Resultat!H54-Resultat!J54)&lt;0),Resultat!$M$4,IF(((H54-J54)=0)*((Resultat!H54-Resultat!J54)=0),Resultat!$M$4,0)))))</f>
        <v/>
      </c>
      <c r="L54" s="69" t="str">
        <f t="shared" si="0"/>
        <v>x</v>
      </c>
    </row>
    <row r="55" spans="1:12" x14ac:dyDescent="0.15">
      <c r="A55" s="42">
        <v>43</v>
      </c>
      <c r="B55" s="43">
        <v>42548</v>
      </c>
      <c r="C55" s="44" t="s">
        <v>41</v>
      </c>
      <c r="D55" s="70">
        <v>0.125</v>
      </c>
      <c r="E55" s="45"/>
      <c r="F55" s="46" t="s">
        <v>39</v>
      </c>
      <c r="G55" s="47"/>
      <c r="H55" s="48"/>
      <c r="I55" s="46" t="s">
        <v>39</v>
      </c>
      <c r="J55" s="49"/>
      <c r="K55" s="57" t="str">
        <f>IF(OR(Resultat!H55="",H55="",Resultat!J55="",J55=""),"",IF((H55=Resultat!H55)*(J55=Resultat!J55),Resultat!$M$4+Resultat!$AA$4,IF(((H55-J55)&gt;0)*((Resultat!H55-Resultat!J55)&gt;0),Resultat!$M$4,IF(((H55-J55)&lt;0)*((Resultat!H55-Resultat!J55)&lt;0),Resultat!$M$4,IF(((H55-J55)=0)*((Resultat!H55-Resultat!J55)=0),Resultat!$M$4,0)))))</f>
        <v/>
      </c>
      <c r="L55" s="69" t="str">
        <f t="shared" si="0"/>
        <v>x</v>
      </c>
    </row>
    <row r="56" spans="1:12" x14ac:dyDescent="0.15">
      <c r="A56" s="42">
        <v>44</v>
      </c>
      <c r="B56" s="43">
        <v>42548</v>
      </c>
      <c r="C56" s="44" t="s">
        <v>37</v>
      </c>
      <c r="D56" s="70">
        <v>0.125</v>
      </c>
      <c r="E56" s="45"/>
      <c r="F56" s="46" t="s">
        <v>39</v>
      </c>
      <c r="G56" s="47"/>
      <c r="H56" s="48"/>
      <c r="I56" s="46" t="s">
        <v>39</v>
      </c>
      <c r="J56" s="49"/>
      <c r="K56" s="57" t="str">
        <f>IF(OR(Resultat!H56="",H56="",Resultat!J56="",J56=""),"",IF((H56=Resultat!H56)*(J56=Resultat!J56),Resultat!$M$4+Resultat!$AA$4,IF(((H56-J56)&gt;0)*((Resultat!H56-Resultat!J56)&gt;0),Resultat!$M$4,IF(((H56-J56)&lt;0)*((Resultat!H56-Resultat!J56)&lt;0),Resultat!$M$4,IF(((H56-J56)=0)*((Resultat!H56-Resultat!J56)=0),Resultat!$M$4,0)))))</f>
        <v/>
      </c>
      <c r="L56" s="69" t="str">
        <f t="shared" si="0"/>
        <v>x</v>
      </c>
    </row>
    <row r="57" spans="1:12" x14ac:dyDescent="0.15">
      <c r="A57" s="42">
        <v>45</v>
      </c>
      <c r="B57" s="43">
        <v>42551</v>
      </c>
      <c r="C57" s="44" t="s">
        <v>37</v>
      </c>
      <c r="D57" s="70">
        <v>0.25</v>
      </c>
      <c r="E57" s="45" t="str">
        <f>IF(J49="","",IF(H49&gt;J49,E49,G49))</f>
        <v/>
      </c>
      <c r="F57" s="46" t="s">
        <v>39</v>
      </c>
      <c r="G57" s="47" t="str">
        <f>IF(J51="","",IF(H51&gt;J51,E51,G51))</f>
        <v/>
      </c>
      <c r="H57" s="48"/>
      <c r="I57" s="46" t="s">
        <v>39</v>
      </c>
      <c r="J57" s="49"/>
      <c r="K57" s="57" t="str">
        <f>IF(OR(Resultat!H57="",H57="",Resultat!J57="",J57=""),"",IF((H57=Resultat!H57)*(J57=Resultat!J57),Resultat!$M$5+Resultat!$AA$4,IF(((H57-J57)&gt;0)*((Resultat!H57-Resultat!J57)&gt;0),Resultat!$M$5,IF(((H57-J57)&lt;0)*((Resultat!H57-Resultat!J57)&lt;0),Resultat!$M$5,IF(((H57-J57)=0)*((Resultat!H57-Resultat!J57)=0),Resultat!$M$5,0)))))</f>
        <v/>
      </c>
      <c r="L57" s="69" t="str">
        <f t="shared" si="0"/>
        <v>x</v>
      </c>
    </row>
    <row r="58" spans="1:12" x14ac:dyDescent="0.15">
      <c r="A58" s="42">
        <v>46</v>
      </c>
      <c r="B58" s="43">
        <v>42552</v>
      </c>
      <c r="C58" s="44" t="s">
        <v>41</v>
      </c>
      <c r="D58" s="70">
        <v>0.25</v>
      </c>
      <c r="E58" s="45" t="str">
        <f>IF(J50="","",IF(H50&gt;J50,E50,G50))</f>
        <v/>
      </c>
      <c r="F58" s="46" t="s">
        <v>39</v>
      </c>
      <c r="G58" s="47" t="str">
        <f>IF(J54="","",IF(H54&gt;J54,E54,G54))</f>
        <v/>
      </c>
      <c r="H58" s="48"/>
      <c r="I58" s="46" t="s">
        <v>39</v>
      </c>
      <c r="J58" s="49"/>
      <c r="K58" s="57" t="str">
        <f>IF(OR(Resultat!H58="",H58="",Resultat!J58="",J58=""),"",IF((H58=Resultat!H58)*(J58=Resultat!J58),Resultat!$M$5+Resultat!$AA$4,IF(((H58-J58)&gt;0)*((Resultat!H58-Resultat!J58)&gt;0),Resultat!$M$5,IF(((H58-J58)&lt;0)*((Resultat!H58-Resultat!J58)&lt;0),Resultat!$M$5,IF(((H58-J58)=0)*((Resultat!H58-Resultat!J58)=0),Resultat!$M$5,0)))))</f>
        <v/>
      </c>
      <c r="L58" s="69" t="str">
        <f t="shared" si="0"/>
        <v>x</v>
      </c>
    </row>
    <row r="59" spans="1:12" x14ac:dyDescent="0.15">
      <c r="A59" s="42">
        <v>47</v>
      </c>
      <c r="B59" s="43">
        <v>42553</v>
      </c>
      <c r="C59" s="44" t="s">
        <v>37</v>
      </c>
      <c r="D59" s="70">
        <v>0.25</v>
      </c>
      <c r="E59" s="45" t="str">
        <f>IF(J53="","",IF(H53&gt;J53,E53,G53))</f>
        <v/>
      </c>
      <c r="F59" s="46" t="s">
        <v>39</v>
      </c>
      <c r="G59" s="47" t="str">
        <f>IF(J55="","",IF(H55&gt;J55,E55,G55))</f>
        <v/>
      </c>
      <c r="H59" s="48"/>
      <c r="I59" s="46" t="s">
        <v>39</v>
      </c>
      <c r="J59" s="49"/>
      <c r="K59" s="57" t="str">
        <f>IF(OR(Resultat!H59="",H59="",Resultat!J59="",J59=""),"",IF((H59=Resultat!H59)*(J59=Resultat!J59),Resultat!$M$5+Resultat!$AA$4,IF(((H59-J59)&gt;0)*((Resultat!H59-Resultat!J59)&gt;0),Resultat!$M$5,IF(((H59-J59)&lt;0)*((Resultat!H59-Resultat!J59)&lt;0),Resultat!$M$5,IF(((H59-J59)=0)*((Resultat!H59-Resultat!J59)=0),Resultat!$M$5,0)))))</f>
        <v/>
      </c>
      <c r="L59" s="69" t="str">
        <f t="shared" si="0"/>
        <v>x</v>
      </c>
    </row>
    <row r="60" spans="1:12" x14ac:dyDescent="0.15">
      <c r="A60" s="42">
        <v>48</v>
      </c>
      <c r="B60" s="43">
        <v>42554</v>
      </c>
      <c r="C60" s="44" t="s">
        <v>41</v>
      </c>
      <c r="D60" s="70">
        <v>0.25</v>
      </c>
      <c r="E60" s="45" t="str">
        <f>IF(J52="","",IF(H52&gt;J52,E52,G52))</f>
        <v/>
      </c>
      <c r="F60" s="46" t="s">
        <v>39</v>
      </c>
      <c r="G60" s="47" t="str">
        <f>IF(J56="","",IF(H56&gt;J56,E56,G56))</f>
        <v/>
      </c>
      <c r="H60" s="48"/>
      <c r="I60" s="46" t="s">
        <v>39</v>
      </c>
      <c r="J60" s="49"/>
      <c r="K60" s="57" t="str">
        <f>IF(OR(Resultat!H60="",H60="",Resultat!J60="",J60=""),"",IF((H60=Resultat!H60)*(J60=Resultat!J60),Resultat!$M$5+Resultat!$AA$4,IF(((H60-J60)&gt;0)*((Resultat!H60-Resultat!J60)&gt;0),Resultat!$M$5,IF(((H60-J60)&lt;0)*((Resultat!H60-Resultat!J60)&lt;0),Resultat!$M$5,IF(((H60-J60)=0)*((Resultat!H60-Resultat!J60)=0),Resultat!$M$5,0)))))</f>
        <v/>
      </c>
      <c r="L60" s="69" t="str">
        <f t="shared" si="0"/>
        <v>x</v>
      </c>
    </row>
    <row r="61" spans="1:12" x14ac:dyDescent="0.15">
      <c r="A61" s="42">
        <v>49</v>
      </c>
      <c r="B61" s="43">
        <v>42557</v>
      </c>
      <c r="C61" s="44" t="s">
        <v>37</v>
      </c>
      <c r="D61" s="70" t="s">
        <v>57</v>
      </c>
      <c r="E61" s="45" t="str">
        <f>IF(J57="","",IF(H57&gt;J57,E57,G57))</f>
        <v/>
      </c>
      <c r="F61" s="46" t="s">
        <v>39</v>
      </c>
      <c r="G61" s="47" t="str">
        <f>IF(J58="","",IF(H58&gt;J58,E58,G58))</f>
        <v/>
      </c>
      <c r="H61" s="48"/>
      <c r="I61" s="46" t="s">
        <v>39</v>
      </c>
      <c r="J61" s="49"/>
      <c r="K61" s="57" t="str">
        <f>IF(OR(Resultat!H61="",H61="",Resultat!J61="",J61=""),"",IF((H61=Resultat!H61)*(J61=Resultat!J61),Resultat!$M$6+Resultat!$AA$4,IF(((H61-J61)&gt;0)*((Resultat!H61-Resultat!J61)&gt;0),Resultat!$M$6,IF(((H61-J61)&lt;0)*((Resultat!H61-Resultat!J61)&lt;0),Resultat!$M$6,IF(((H61-J61)=0)*((Resultat!H61-Resultat!J61)=0),Resultat!$M$6,0)))))</f>
        <v/>
      </c>
      <c r="L61" s="69" t="str">
        <f t="shared" si="0"/>
        <v>x</v>
      </c>
    </row>
    <row r="62" spans="1:12" x14ac:dyDescent="0.15">
      <c r="A62" s="42">
        <v>50</v>
      </c>
      <c r="B62" s="43">
        <v>42558</v>
      </c>
      <c r="C62" s="44" t="s">
        <v>37</v>
      </c>
      <c r="D62" s="70" t="s">
        <v>58</v>
      </c>
      <c r="E62" s="45" t="str">
        <f>IF(J59="","",IF(H59&gt;J59,E59,G59))</f>
        <v/>
      </c>
      <c r="F62" s="46" t="s">
        <v>39</v>
      </c>
      <c r="G62" s="47" t="str">
        <f>IF(J60="","",IF(H60&gt;J60,E60,G60))</f>
        <v/>
      </c>
      <c r="H62" s="48"/>
      <c r="I62" s="46" t="s">
        <v>39</v>
      </c>
      <c r="J62" s="49"/>
      <c r="K62" s="57" t="str">
        <f>IF(OR(Resultat!H62="",H62="",Resultat!J62="",J62=""),"",IF((H62=Resultat!H62)*(J62=Resultat!J62),Resultat!$M$6+Resultat!$AA$4,IF(((H62-J62)&gt;0)*((Resultat!H62-Resultat!J62)&gt;0),Resultat!$M$6,IF(((H62-J62)&lt;0)*((Resultat!H62-Resultat!J62)&lt;0),Resultat!$M$6,IF(((H62-J62)=0)*((Resultat!H62-Resultat!J62)=0),Resultat!$M$6,0)))))</f>
        <v/>
      </c>
      <c r="L62" s="69" t="str">
        <f t="shared" si="0"/>
        <v>x</v>
      </c>
    </row>
    <row r="63" spans="1:12" x14ac:dyDescent="0.15">
      <c r="A63" s="42">
        <v>51</v>
      </c>
      <c r="B63" s="43">
        <v>42561</v>
      </c>
      <c r="C63" s="44" t="s">
        <v>42</v>
      </c>
      <c r="D63" s="70" t="s">
        <v>23</v>
      </c>
      <c r="E63" s="45" t="str">
        <f>IF(J61="","",IF(H61&gt;J61,E61,G61))</f>
        <v/>
      </c>
      <c r="F63" s="46" t="s">
        <v>39</v>
      </c>
      <c r="G63" s="47" t="str">
        <f>IF(J62="","",IF(H62&gt;J62,E62,G62))</f>
        <v/>
      </c>
      <c r="H63" s="48"/>
      <c r="I63" s="46" t="s">
        <v>39</v>
      </c>
      <c r="J63" s="49"/>
      <c r="K63" s="57" t="str">
        <f>IF(OR(Resultat!H63="",H63="",Resultat!J63="",J63=""),"",IF((H63=Resultat!H63)*(J63=Resultat!J63),Resultat!$AA$3+Resultat!$AA$4,IF(((H63-J63)&gt;0)*((Resultat!H63-Resultat!J63)&gt;0),Resultat!$AA$3,IF(((H63-J63)&lt;0)*((Resultat!H63-Resultat!J63)&lt;0),Resultat!$AA$3,IF(((H63-J63)=0)*((Resultat!H63-Resultat!J63)=0),Resultat!$AA$3,0)))))</f>
        <v/>
      </c>
      <c r="L63" s="69" t="str">
        <f t="shared" si="0"/>
        <v>x</v>
      </c>
    </row>
    <row r="75" spans="1:1" x14ac:dyDescent="0.15">
      <c r="A75" s="51"/>
    </row>
    <row r="76" spans="1:1" x14ac:dyDescent="0.15">
      <c r="A76" s="51"/>
    </row>
    <row r="77" spans="1:1" x14ac:dyDescent="0.15">
      <c r="A77" s="51"/>
    </row>
  </sheetData>
  <mergeCells count="3">
    <mergeCell ref="H1:J1"/>
    <mergeCell ref="E12:G12"/>
    <mergeCell ref="H12:J12"/>
  </mergeCells>
  <phoneticPr fontId="15" type="noConversion"/>
  <conditionalFormatting sqref="A14:B14 B15:B16 D14:G14 I14 K33:K63">
    <cfRule type="expression" dxfId="111" priority="36">
      <formula>$H14&lt;&gt;""</formula>
    </cfRule>
  </conditionalFormatting>
  <conditionalFormatting sqref="A15 D15:G15 I15">
    <cfRule type="expression" dxfId="110" priority="35">
      <formula>$H15&lt;&gt;""</formula>
    </cfRule>
  </conditionalFormatting>
  <conditionalFormatting sqref="A16 D16:G16 I16">
    <cfRule type="expression" dxfId="109" priority="34">
      <formula>$H16&lt;&gt;""</formula>
    </cfRule>
  </conditionalFormatting>
  <conditionalFormatting sqref="A17:G17 C18 I17 B18:B48">
    <cfRule type="expression" dxfId="108" priority="33">
      <formula>$H17&lt;&gt;""</formula>
    </cfRule>
  </conditionalFormatting>
  <conditionalFormatting sqref="A18 D18:G18 I18">
    <cfRule type="expression" dxfId="107" priority="32">
      <formula>$H18&lt;&gt;""</formula>
    </cfRule>
  </conditionalFormatting>
  <conditionalFormatting sqref="A19 C19:G19 C20:C22 I19">
    <cfRule type="expression" dxfId="106" priority="31">
      <formula>$H19&lt;&gt;""</formula>
    </cfRule>
  </conditionalFormatting>
  <conditionalFormatting sqref="A20 D20:G20 I20">
    <cfRule type="expression" dxfId="105" priority="30">
      <formula>$H20&lt;&gt;""</formula>
    </cfRule>
  </conditionalFormatting>
  <conditionalFormatting sqref="A21 D21:G21 I21">
    <cfRule type="expression" dxfId="104" priority="29">
      <formula>$H21&lt;&gt;""</formula>
    </cfRule>
  </conditionalFormatting>
  <conditionalFormatting sqref="A22 D22:G22 I22">
    <cfRule type="expression" dxfId="103" priority="28">
      <formula>$H22&lt;&gt;""</formula>
    </cfRule>
  </conditionalFormatting>
  <conditionalFormatting sqref="A23 C23:G23 I23">
    <cfRule type="expression" dxfId="102" priority="27">
      <formula>$H23&lt;&gt;""</formula>
    </cfRule>
  </conditionalFormatting>
  <conditionalFormatting sqref="A24 C24:G24 I24">
    <cfRule type="expression" dxfId="101" priority="26">
      <formula>$H24&lt;&gt;""</formula>
    </cfRule>
  </conditionalFormatting>
  <conditionalFormatting sqref="A25 C25:G25 I25">
    <cfRule type="expression" dxfId="100" priority="25">
      <formula>$H25&lt;&gt;""</formula>
    </cfRule>
  </conditionalFormatting>
  <conditionalFormatting sqref="A26 C26:G26 I26">
    <cfRule type="expression" dxfId="99" priority="24">
      <formula>$H26&lt;&gt;""</formula>
    </cfRule>
  </conditionalFormatting>
  <conditionalFormatting sqref="A27 C27:G27 I27">
    <cfRule type="expression" dxfId="98" priority="23">
      <formula>$H27&lt;&gt;""</formula>
    </cfRule>
  </conditionalFormatting>
  <conditionalFormatting sqref="A28 C28:G28 I28">
    <cfRule type="expression" dxfId="97" priority="22">
      <formula>$H28&lt;&gt;""</formula>
    </cfRule>
  </conditionalFormatting>
  <conditionalFormatting sqref="A29 C29:G29 I29">
    <cfRule type="expression" dxfId="96" priority="21">
      <formula>$H29&lt;&gt;""</formula>
    </cfRule>
  </conditionalFormatting>
  <conditionalFormatting sqref="A30 C30:G30 I30">
    <cfRule type="expression" dxfId="95" priority="20">
      <formula>$H30&lt;&gt;""</formula>
    </cfRule>
  </conditionalFormatting>
  <conditionalFormatting sqref="A31 C31:G31 I31">
    <cfRule type="expression" dxfId="94" priority="19">
      <formula>$H31&lt;&gt;""</formula>
    </cfRule>
  </conditionalFormatting>
  <conditionalFormatting sqref="A32 C32:G32 I32">
    <cfRule type="expression" dxfId="93" priority="18">
      <formula>$H32&lt;&gt;""</formula>
    </cfRule>
  </conditionalFormatting>
  <conditionalFormatting sqref="A33 C33:G33 I33">
    <cfRule type="expression" dxfId="92" priority="17">
      <formula>$H33&lt;&gt;""</formula>
    </cfRule>
  </conditionalFormatting>
  <conditionalFormatting sqref="A34 C34:G34 I34">
    <cfRule type="expression" dxfId="91" priority="16">
      <formula>$H34&lt;&gt;""</formula>
    </cfRule>
  </conditionalFormatting>
  <conditionalFormatting sqref="A35 C35:G35 I35">
    <cfRule type="expression" dxfId="90" priority="15">
      <formula>$H35&lt;&gt;""</formula>
    </cfRule>
  </conditionalFormatting>
  <conditionalFormatting sqref="A36 C36:G36 I36">
    <cfRule type="expression" dxfId="89" priority="14">
      <formula>$H36&lt;&gt;""</formula>
    </cfRule>
  </conditionalFormatting>
  <conditionalFormatting sqref="A37 C37:G37 I37">
    <cfRule type="expression" dxfId="88" priority="13">
      <formula>$H37&lt;&gt;""</formula>
    </cfRule>
  </conditionalFormatting>
  <conditionalFormatting sqref="A38 C38:G38 I38">
    <cfRule type="expression" dxfId="87" priority="12">
      <formula>$H38&lt;&gt;""</formula>
    </cfRule>
  </conditionalFormatting>
  <conditionalFormatting sqref="A39 C39:G39 I39">
    <cfRule type="expression" dxfId="86" priority="11">
      <formula>$H39&lt;&gt;""</formula>
    </cfRule>
  </conditionalFormatting>
  <conditionalFormatting sqref="A40 C40:G40 I40">
    <cfRule type="expression" dxfId="85" priority="10">
      <formula>$H40&lt;&gt;""</formula>
    </cfRule>
  </conditionalFormatting>
  <conditionalFormatting sqref="A41 C41:G41 I41">
    <cfRule type="expression" dxfId="84" priority="9">
      <formula>$H41&lt;&gt;""</formula>
    </cfRule>
  </conditionalFormatting>
  <conditionalFormatting sqref="A42 C42:G42 I42">
    <cfRule type="expression" dxfId="83" priority="8">
      <formula>$H42&lt;&gt;""</formula>
    </cfRule>
  </conditionalFormatting>
  <conditionalFormatting sqref="A43 C43:G43 I43">
    <cfRule type="expression" dxfId="82" priority="7">
      <formula>$H43&lt;&gt;""</formula>
    </cfRule>
  </conditionalFormatting>
  <conditionalFormatting sqref="A44 C44:G44 I44">
    <cfRule type="expression" dxfId="81" priority="6">
      <formula>$H44&lt;&gt;""</formula>
    </cfRule>
  </conditionalFormatting>
  <conditionalFormatting sqref="A45 C45:G45 I45">
    <cfRule type="expression" dxfId="80" priority="5">
      <formula>$H45&lt;&gt;""</formula>
    </cfRule>
  </conditionalFormatting>
  <conditionalFormatting sqref="A46 C46:G46 I46">
    <cfRule type="expression" dxfId="79" priority="4">
      <formula>$H46&lt;&gt;""</formula>
    </cfRule>
  </conditionalFormatting>
  <conditionalFormatting sqref="A47 C47:G47 I47">
    <cfRule type="expression" dxfId="78" priority="3">
      <formula>$H47&lt;&gt;""</formula>
    </cfRule>
  </conditionalFormatting>
  <conditionalFormatting sqref="A48 C48:G48 I48">
    <cfRule type="expression" dxfId="77" priority="2">
      <formula>$H48&lt;&gt;""</formula>
    </cfRule>
  </conditionalFormatting>
  <conditionalFormatting sqref="A13:J13 C14:C16 H14:H48 K13:K32 J14:J48">
    <cfRule type="expression" dxfId="76" priority="1">
      <formula>$H13&lt;&gt;""</formula>
    </cfRule>
  </conditionalFormatting>
  <pageMargins left="0.7" right="0.7" top="0.75" bottom="0.75" header="0.3" footer="0.3"/>
  <pageSetup paperSize="9" orientation="landscape" horizontalDpi="4294967292" verticalDpi="429496729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 enableFormatConditionsCalculation="0">
    <pageSetUpPr autoPageBreaks="0"/>
  </sheetPr>
  <dimension ref="A1:Y77"/>
  <sheetViews>
    <sheetView tabSelected="1" workbookViewId="0">
      <pane ySplit="12" topLeftCell="A13" activePane="bottomLeft" state="frozen"/>
      <selection pane="bottomLeft" activeCell="O17" sqref="O17"/>
    </sheetView>
  </sheetViews>
  <sheetFormatPr baseColWidth="10" defaultColWidth="8.83203125" defaultRowHeight="13" x14ac:dyDescent="0.15"/>
  <cols>
    <col min="1" max="1" width="8.5" style="34" customWidth="1"/>
    <col min="2" max="2" width="11.83203125" style="34" customWidth="1"/>
    <col min="3" max="3" width="8.83203125" style="34"/>
    <col min="4" max="4" width="8.83203125" style="34" customWidth="1"/>
    <col min="5" max="5" width="14.83203125" style="34" bestFit="1" customWidth="1"/>
    <col min="6" max="6" width="1.5" style="34" bestFit="1" customWidth="1"/>
    <col min="7" max="7" width="14.83203125" style="34" bestFit="1" customWidth="1"/>
    <col min="8" max="8" width="5.1640625" style="34" customWidth="1"/>
    <col min="9" max="9" width="1.5" style="34" customWidth="1"/>
    <col min="10" max="10" width="5.1640625" style="34" customWidth="1"/>
    <col min="11" max="11" width="6.1640625" style="34" customWidth="1"/>
    <col min="12" max="12" width="12.33203125" style="34" customWidth="1"/>
    <col min="13" max="13" width="8.83203125" style="34" customWidth="1"/>
    <col min="14" max="14" width="10.83203125" style="34" customWidth="1"/>
    <col min="15" max="15" width="13.33203125" style="34" customWidth="1"/>
    <col min="16" max="16384" width="8.83203125" style="34"/>
  </cols>
  <sheetData>
    <row r="1" spans="1:25" ht="20" x14ac:dyDescent="0.2">
      <c r="A1" s="1" t="s">
        <v>89</v>
      </c>
      <c r="B1" s="2"/>
      <c r="C1" s="2"/>
      <c r="D1" s="2"/>
      <c r="E1" s="3"/>
      <c r="F1" s="3"/>
      <c r="G1" s="3"/>
      <c r="H1" s="99" t="s">
        <v>95</v>
      </c>
      <c r="I1" s="99"/>
      <c r="J1" s="99"/>
      <c r="K1" s="67">
        <f>SUM(K13:K63)+SUM(P16:P19)</f>
        <v>23</v>
      </c>
      <c r="L1" s="3"/>
      <c r="M1" s="3"/>
      <c r="N1" s="31" t="s">
        <v>0</v>
      </c>
      <c r="O1" s="32"/>
      <c r="P1" s="32"/>
      <c r="Q1" s="32"/>
      <c r="R1" s="32"/>
      <c r="S1" s="32" t="s">
        <v>1</v>
      </c>
      <c r="T1" s="32"/>
      <c r="U1" s="32" t="s">
        <v>1</v>
      </c>
      <c r="V1" s="32"/>
      <c r="W1" s="32"/>
      <c r="X1" s="32"/>
      <c r="Y1" s="33"/>
    </row>
    <row r="2" spans="1:25" ht="12.75" customHeight="1" x14ac:dyDescent="0.15">
      <c r="A2" s="5" t="s">
        <v>2</v>
      </c>
      <c r="B2" s="6"/>
      <c r="C2" s="6"/>
      <c r="D2" s="6"/>
      <c r="E2" s="7"/>
      <c r="F2" s="7"/>
      <c r="G2" s="7"/>
      <c r="H2" s="8"/>
      <c r="I2" s="8"/>
      <c r="J2" s="8"/>
      <c r="K2" s="8"/>
      <c r="L2" s="7"/>
      <c r="M2" s="7"/>
      <c r="N2" s="35" t="s">
        <v>3</v>
      </c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</row>
    <row r="3" spans="1:25" ht="12.75" customHeight="1" x14ac:dyDescent="0.15">
      <c r="A3" s="9" t="s">
        <v>4</v>
      </c>
      <c r="B3" s="10"/>
      <c r="C3" s="10"/>
      <c r="D3" s="10"/>
      <c r="E3" s="10" t="s">
        <v>5</v>
      </c>
      <c r="F3" s="11"/>
      <c r="G3" s="12"/>
      <c r="H3" s="12"/>
      <c r="I3" s="12"/>
      <c r="J3" s="12"/>
      <c r="K3" s="12"/>
      <c r="L3" s="12" t="s">
        <v>6</v>
      </c>
      <c r="M3" s="12"/>
      <c r="N3" s="35" t="s">
        <v>7</v>
      </c>
      <c r="O3" s="36"/>
      <c r="P3" s="36"/>
      <c r="Q3" s="36"/>
      <c r="R3" s="36"/>
      <c r="S3" s="36"/>
      <c r="T3" s="36"/>
      <c r="U3" s="36"/>
      <c r="V3" s="36"/>
      <c r="W3" s="36"/>
      <c r="X3" s="36"/>
      <c r="Y3" s="37"/>
    </row>
    <row r="4" spans="1:25" ht="12.75" customHeight="1" x14ac:dyDescent="0.15">
      <c r="A4" s="13" t="s">
        <v>8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4" t="s">
        <v>9</v>
      </c>
      <c r="M4" s="16">
        <v>4</v>
      </c>
      <c r="N4" s="38"/>
      <c r="O4" s="36"/>
      <c r="P4" s="36"/>
      <c r="Q4" s="36"/>
      <c r="R4" s="36"/>
      <c r="S4" s="36"/>
      <c r="T4" s="36"/>
      <c r="U4" s="36"/>
      <c r="V4" s="36"/>
      <c r="W4" s="36"/>
      <c r="X4" s="36"/>
      <c r="Y4" s="37"/>
    </row>
    <row r="5" spans="1:25" ht="12.75" customHeight="1" x14ac:dyDescent="0.15">
      <c r="A5" s="17" t="s">
        <v>10</v>
      </c>
      <c r="B5" s="18"/>
      <c r="C5" s="18"/>
      <c r="D5" s="18"/>
      <c r="E5" s="18" t="s">
        <v>11</v>
      </c>
      <c r="F5" s="18"/>
      <c r="G5" s="18"/>
      <c r="H5" s="19"/>
      <c r="I5" s="19"/>
      <c r="J5" s="19"/>
      <c r="K5" s="19"/>
      <c r="L5" s="18" t="s">
        <v>12</v>
      </c>
      <c r="M5" s="20">
        <v>6</v>
      </c>
      <c r="N5" s="35" t="s">
        <v>13</v>
      </c>
      <c r="O5" s="36"/>
      <c r="P5" s="36"/>
      <c r="Q5" s="36"/>
      <c r="R5" s="36"/>
      <c r="S5" s="36"/>
      <c r="T5" s="36"/>
      <c r="U5" s="36"/>
      <c r="V5" s="36"/>
      <c r="W5" s="36"/>
      <c r="X5" s="36"/>
      <c r="Y5" s="37"/>
    </row>
    <row r="6" spans="1:25" ht="12.75" customHeight="1" x14ac:dyDescent="0.15">
      <c r="A6" s="17" t="s">
        <v>14</v>
      </c>
      <c r="B6" s="18"/>
      <c r="C6" s="18"/>
      <c r="D6" s="18"/>
      <c r="E6" s="18" t="s">
        <v>15</v>
      </c>
      <c r="F6" s="18"/>
      <c r="G6" s="18"/>
      <c r="H6" s="19"/>
      <c r="I6" s="19"/>
      <c r="J6" s="19"/>
      <c r="K6" s="19"/>
      <c r="L6" s="18" t="s">
        <v>16</v>
      </c>
      <c r="M6" s="20">
        <v>10</v>
      </c>
      <c r="N6" s="38" t="s">
        <v>17</v>
      </c>
      <c r="O6" s="36"/>
      <c r="P6" s="36"/>
      <c r="Q6" s="36"/>
      <c r="R6" s="36"/>
      <c r="S6" s="36"/>
      <c r="T6" s="36"/>
      <c r="U6" s="36"/>
      <c r="V6" s="36"/>
      <c r="W6" s="36"/>
      <c r="X6" s="36"/>
      <c r="Y6" s="37"/>
    </row>
    <row r="7" spans="1:25" ht="12.75" customHeight="1" x14ac:dyDescent="0.15">
      <c r="A7" s="17" t="s">
        <v>18</v>
      </c>
      <c r="B7" s="18"/>
      <c r="C7" s="18"/>
      <c r="D7" s="18"/>
      <c r="E7" s="18" t="s">
        <v>19</v>
      </c>
      <c r="F7" s="18"/>
      <c r="G7" s="18"/>
      <c r="H7" s="19"/>
      <c r="I7" s="19"/>
      <c r="J7" s="19"/>
      <c r="K7" s="19"/>
      <c r="L7" s="18" t="s">
        <v>20</v>
      </c>
      <c r="M7" s="20">
        <v>14</v>
      </c>
      <c r="N7" s="38" t="s">
        <v>21</v>
      </c>
      <c r="O7" s="36"/>
      <c r="P7" s="36"/>
      <c r="Q7" s="36"/>
      <c r="R7" s="36"/>
      <c r="S7" s="36"/>
      <c r="T7" s="36"/>
      <c r="U7" s="36"/>
      <c r="V7" s="36"/>
      <c r="W7" s="36"/>
      <c r="X7" s="36"/>
      <c r="Y7" s="37"/>
    </row>
    <row r="8" spans="1:25" ht="12.75" customHeight="1" x14ac:dyDescent="0.15">
      <c r="A8" s="17" t="s">
        <v>22</v>
      </c>
      <c r="B8" s="18"/>
      <c r="C8" s="18"/>
      <c r="D8" s="18"/>
      <c r="E8" s="18"/>
      <c r="F8" s="18"/>
      <c r="G8" s="18"/>
      <c r="H8" s="19"/>
      <c r="I8" s="19"/>
      <c r="J8" s="19"/>
      <c r="K8" s="19"/>
      <c r="L8" s="18" t="s">
        <v>23</v>
      </c>
      <c r="M8" s="20">
        <v>16</v>
      </c>
      <c r="N8" s="38" t="s">
        <v>24</v>
      </c>
      <c r="O8" s="36"/>
      <c r="P8" s="36"/>
      <c r="Q8" s="36"/>
      <c r="R8" s="36"/>
      <c r="S8" s="36"/>
      <c r="T8" s="36"/>
      <c r="U8" s="36"/>
      <c r="V8" s="36"/>
      <c r="W8" s="36"/>
      <c r="X8" s="36"/>
      <c r="Y8" s="37"/>
    </row>
    <row r="9" spans="1:25" ht="12.75" customHeight="1" x14ac:dyDescent="0.15">
      <c r="A9" s="17" t="s">
        <v>25</v>
      </c>
      <c r="B9" s="18"/>
      <c r="C9" s="18"/>
      <c r="D9" s="18"/>
      <c r="E9" s="18"/>
      <c r="F9" s="18"/>
      <c r="G9" s="18"/>
      <c r="H9" s="19"/>
      <c r="I9" s="19"/>
      <c r="J9" s="19"/>
      <c r="K9" s="19"/>
      <c r="L9" s="18"/>
      <c r="M9" s="18"/>
      <c r="N9" s="35" t="s">
        <v>26</v>
      </c>
      <c r="O9" s="36"/>
      <c r="P9" s="36"/>
      <c r="Q9" s="36"/>
      <c r="R9" s="36"/>
      <c r="S9" s="36"/>
      <c r="T9" s="36"/>
      <c r="U9" s="36"/>
      <c r="V9" s="36"/>
      <c r="W9" s="36"/>
      <c r="X9" s="36"/>
      <c r="Y9" s="37"/>
    </row>
    <row r="10" spans="1:25" ht="12.75" customHeight="1" x14ac:dyDescent="0.15">
      <c r="A10" s="21" t="s">
        <v>27</v>
      </c>
      <c r="B10" s="22"/>
      <c r="C10" s="22"/>
      <c r="D10" s="22"/>
      <c r="E10" s="22"/>
      <c r="F10" s="22"/>
      <c r="G10" s="22"/>
      <c r="H10" s="23"/>
      <c r="I10" s="23"/>
      <c r="J10" s="23"/>
      <c r="K10" s="23"/>
      <c r="L10" s="22"/>
      <c r="M10" s="22"/>
      <c r="N10" s="38" t="s">
        <v>28</v>
      </c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7"/>
    </row>
    <row r="11" spans="1:25" ht="12.75" customHeight="1" x14ac:dyDescent="0.15">
      <c r="A11" s="1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5"/>
      <c r="M11" s="26"/>
      <c r="N11" s="39" t="s">
        <v>29</v>
      </c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1"/>
    </row>
    <row r="12" spans="1:25" x14ac:dyDescent="0.15">
      <c r="A12" s="27" t="s">
        <v>30</v>
      </c>
      <c r="B12" s="25" t="s">
        <v>31</v>
      </c>
      <c r="C12" s="94" t="s">
        <v>32</v>
      </c>
      <c r="D12" s="94" t="s">
        <v>33</v>
      </c>
      <c r="E12" s="95" t="s">
        <v>34</v>
      </c>
      <c r="F12" s="96"/>
      <c r="G12" s="95"/>
      <c r="H12" s="95" t="s">
        <v>35</v>
      </c>
      <c r="I12" s="95"/>
      <c r="J12" s="95"/>
      <c r="K12" s="93" t="s">
        <v>90</v>
      </c>
      <c r="L12" s="93" t="s">
        <v>96</v>
      </c>
      <c r="M12" s="93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</row>
    <row r="13" spans="1:25" x14ac:dyDescent="0.15">
      <c r="A13" s="42">
        <v>1</v>
      </c>
      <c r="B13" s="43">
        <v>42531</v>
      </c>
      <c r="C13" s="44" t="s">
        <v>42</v>
      </c>
      <c r="D13" s="42" t="s">
        <v>38</v>
      </c>
      <c r="E13" s="45" t="s">
        <v>51</v>
      </c>
      <c r="F13" s="46" t="s">
        <v>39</v>
      </c>
      <c r="G13" s="47" t="s">
        <v>60</v>
      </c>
      <c r="H13" s="48">
        <v>1</v>
      </c>
      <c r="I13" s="46" t="s">
        <v>39</v>
      </c>
      <c r="J13" s="49">
        <v>2</v>
      </c>
      <c r="K13" s="57">
        <f>IF(OR(Resultat!H13="",H13="",Resultat!J13="",J13=""),"",IF((H13=Resultat!H13)*(J13=Resultat!J13),Resultat!$AA$3+Resultat!$AA$4,IF(((H13-J13)&gt;0)*((Resultat!H13-Resultat!J13)&gt;0),Resultat!$AA$3,IF(((H13-J13)&lt;0)*((Resultat!H13-Resultat!J13)&lt;0),Resultat!$AA$3,IF(((H13-J13)=0)*((Resultat!H13-Resultat!J13)=0),Resultat!$AA$3,0)))))</f>
        <v>2</v>
      </c>
      <c r="L13" s="69">
        <f>IF(H13&gt;J13,1,IF(H13=J13,"x",IF(H13&lt;J13,2)))</f>
        <v>2</v>
      </c>
    </row>
    <row r="14" spans="1:25" x14ac:dyDescent="0.15">
      <c r="A14" s="42">
        <v>2</v>
      </c>
      <c r="B14" s="43">
        <v>42532</v>
      </c>
      <c r="C14" s="44" t="s">
        <v>59</v>
      </c>
      <c r="D14" s="42" t="s">
        <v>38</v>
      </c>
      <c r="E14" s="45" t="s">
        <v>61</v>
      </c>
      <c r="F14" s="46" t="s">
        <v>39</v>
      </c>
      <c r="G14" s="47" t="s">
        <v>50</v>
      </c>
      <c r="H14" s="48">
        <v>1</v>
      </c>
      <c r="I14" s="46" t="s">
        <v>39</v>
      </c>
      <c r="J14" s="49">
        <v>2</v>
      </c>
      <c r="K14" s="57">
        <f>IF(OR(Resultat!H14="",H14="",Resultat!J14="",J14=""),"",IF((H14=Resultat!H14)*(J14=Resultat!J14),Resultat!$AA$3+Resultat!$AA$4,IF(((H14-J14)&gt;0)*((Resultat!H14-Resultat!J14)&gt;0),Resultat!$AA$3,IF(((H14-J14)&lt;0)*((Resultat!H14-Resultat!J14)&lt;0),Resultat!$AA$3,IF(((H14-J14)=0)*((Resultat!H14-Resultat!J14)=0),Resultat!$AA$3,0)))))</f>
        <v>0</v>
      </c>
      <c r="L14" s="69">
        <f t="shared" ref="L14:L63" si="0">IF(H14&gt;J14,1,IF(H14=J14,"x",IF(H14&lt;J14,2)))</f>
        <v>2</v>
      </c>
    </row>
    <row r="15" spans="1:25" ht="13" customHeight="1" x14ac:dyDescent="0.2">
      <c r="A15" s="42">
        <v>3</v>
      </c>
      <c r="B15" s="43">
        <v>42532</v>
      </c>
      <c r="C15" s="44" t="s">
        <v>41</v>
      </c>
      <c r="D15" s="42" t="s">
        <v>43</v>
      </c>
      <c r="E15" s="45" t="s">
        <v>62</v>
      </c>
      <c r="F15" s="46" t="s">
        <v>39</v>
      </c>
      <c r="G15" s="47" t="s">
        <v>63</v>
      </c>
      <c r="H15" s="48">
        <v>1</v>
      </c>
      <c r="I15" s="46" t="s">
        <v>39</v>
      </c>
      <c r="J15" s="49">
        <v>2</v>
      </c>
      <c r="K15" s="57">
        <f>IF(OR(Resultat!H15="",H15="",Resultat!J15="",J15=""),"",IF((H15=Resultat!H15)*(J15=Resultat!J15),Resultat!$AA$3+Resultat!$AA$4,IF(((H15-J15)&gt;0)*((Resultat!H15-Resultat!J15)&gt;0),Resultat!$AA$3,IF(((H15-J15)&lt;0)*((Resultat!H15-Resultat!J15)&lt;0),Resultat!$AA$3,IF(((H15-J15)=0)*((Resultat!H15-Resultat!J15)=0),Resultat!$AA$3,0)))))</f>
        <v>0</v>
      </c>
      <c r="L15" s="69">
        <f t="shared" si="0"/>
        <v>2</v>
      </c>
      <c r="N15" s="58"/>
      <c r="O15" s="59"/>
      <c r="P15" s="60" t="s">
        <v>90</v>
      </c>
    </row>
    <row r="16" spans="1:25" ht="13" customHeight="1" x14ac:dyDescent="0.2">
      <c r="A16" s="42">
        <v>4</v>
      </c>
      <c r="B16" s="43">
        <v>42532</v>
      </c>
      <c r="C16" s="44" t="s">
        <v>42</v>
      </c>
      <c r="D16" s="42" t="s">
        <v>43</v>
      </c>
      <c r="E16" s="45" t="s">
        <v>47</v>
      </c>
      <c r="F16" s="46" t="s">
        <v>39</v>
      </c>
      <c r="G16" s="47" t="s">
        <v>56</v>
      </c>
      <c r="H16" s="48">
        <v>1</v>
      </c>
      <c r="I16" s="46" t="s">
        <v>39</v>
      </c>
      <c r="J16" s="49">
        <v>2</v>
      </c>
      <c r="K16" s="57">
        <f>IF(OR(Resultat!H16="",H16="",Resultat!J16="",J16=""),"",IF((H16=Resultat!H16)*(J16=Resultat!J16),Resultat!$AA$3+Resultat!$AA$4,IF(((H16-J16)&gt;0)*((Resultat!H16-Resultat!J16)&gt;0),Resultat!$AA$3,IF(((H16-J16)&lt;0)*((Resultat!H16-Resultat!J16)&lt;0),Resultat!$AA$3,IF(((H16-J16)=0)*((Resultat!H16-Resultat!J16)=0),Resultat!$AA$3,0)))))</f>
        <v>0</v>
      </c>
      <c r="L16" s="69">
        <f t="shared" si="0"/>
        <v>2</v>
      </c>
      <c r="N16" s="61" t="s">
        <v>91</v>
      </c>
      <c r="O16" s="62" t="s">
        <v>44</v>
      </c>
      <c r="P16" s="63">
        <f>Resultat!$AA$6*(SUMPRODUCT((Resultat!J$13:J$64&lt;&gt;"")*(Resultat!$E$13:$E$64=O16)*(Resultat!$J$13:$J$64=0)))+Resultat!$AA$6*(SUMPRODUCT((Resultat!$H$13:$H$64&lt;&gt;"")*(Resultat!$G$13:$G$64=O16)*(Resultat!$H$13:$H$64=0)))</f>
        <v>0</v>
      </c>
    </row>
    <row r="17" spans="1:16" ht="13" customHeight="1" x14ac:dyDescent="0.2">
      <c r="A17" s="42">
        <v>5</v>
      </c>
      <c r="B17" s="43">
        <v>42533</v>
      </c>
      <c r="C17" s="44" t="s">
        <v>59</v>
      </c>
      <c r="D17" s="42" t="s">
        <v>46</v>
      </c>
      <c r="E17" s="45" t="s">
        <v>64</v>
      </c>
      <c r="F17" s="46" t="s">
        <v>39</v>
      </c>
      <c r="G17" s="47" t="s">
        <v>40</v>
      </c>
      <c r="H17" s="48">
        <v>1</v>
      </c>
      <c r="I17" s="46" t="s">
        <v>39</v>
      </c>
      <c r="J17" s="49">
        <v>2</v>
      </c>
      <c r="K17" s="57">
        <f>IF(OR(Resultat!H17="",H17="",Resultat!J17="",J17=""),"",IF((H17=Resultat!H17)*(J17=Resultat!J17),Resultat!$AA$3+Resultat!$AA$4,IF(((H17-J17)&gt;0)*((Resultat!H17-Resultat!J17)&gt;0),Resultat!$AA$3,IF(((H17-J17)&lt;0)*((Resultat!H17-Resultat!J17)&lt;0),Resultat!$AA$3,IF(((H17-J17)=0)*((Resultat!H17-Resultat!J17)=0),Resultat!$AA$3,0)))))</f>
        <v>0</v>
      </c>
      <c r="L17" s="69">
        <f t="shared" si="0"/>
        <v>2</v>
      </c>
      <c r="N17" s="61" t="s">
        <v>92</v>
      </c>
      <c r="O17" s="62" t="s">
        <v>110</v>
      </c>
      <c r="P17" s="63">
        <f>COUNTIF(Resultat!$K$13:$AB$64,O17)*Resultat!$AA$6</f>
        <v>4</v>
      </c>
    </row>
    <row r="18" spans="1:16" ht="13" customHeight="1" x14ac:dyDescent="0.2">
      <c r="A18" s="42">
        <v>6</v>
      </c>
      <c r="B18" s="43">
        <v>42533</v>
      </c>
      <c r="C18" s="44" t="s">
        <v>41</v>
      </c>
      <c r="D18" s="42" t="s">
        <v>45</v>
      </c>
      <c r="E18" s="45" t="s">
        <v>65</v>
      </c>
      <c r="F18" s="46" t="s">
        <v>39</v>
      </c>
      <c r="G18" s="47" t="s">
        <v>66</v>
      </c>
      <c r="H18" s="48">
        <v>1</v>
      </c>
      <c r="I18" s="46" t="s">
        <v>39</v>
      </c>
      <c r="J18" s="49">
        <v>2</v>
      </c>
      <c r="K18" s="57">
        <f>IF(OR(Resultat!H18="",H18="",Resultat!J18="",J18=""),"",IF((H18=Resultat!H18)*(J18=Resultat!J18),Resultat!$AA$3+Resultat!$AA$4,IF(((H18-J18)&gt;0)*((Resultat!H18-Resultat!J18)&gt;0),Resultat!$AA$3,IF(((H18-J18)&lt;0)*((Resultat!H18-Resultat!J18)&lt;0),Resultat!$AA$3,IF(((H18-J18)=0)*((Resultat!H18-Resultat!J18)=0),Resultat!$AA$3,0)))))</f>
        <v>0</v>
      </c>
      <c r="L18" s="69">
        <f t="shared" si="0"/>
        <v>2</v>
      </c>
      <c r="N18" s="61" t="s">
        <v>93</v>
      </c>
      <c r="O18" s="62" t="s">
        <v>111</v>
      </c>
      <c r="P18" s="63">
        <f>COUNTIF(Resultat!$K$13:$AB$64,O18)*Resultat!$AA$6</f>
        <v>2</v>
      </c>
    </row>
    <row r="19" spans="1:16" ht="13" customHeight="1" x14ac:dyDescent="0.2">
      <c r="A19" s="42">
        <v>7</v>
      </c>
      <c r="B19" s="43">
        <v>42533</v>
      </c>
      <c r="C19" s="44" t="s">
        <v>42</v>
      </c>
      <c r="D19" s="42" t="s">
        <v>45</v>
      </c>
      <c r="E19" s="45" t="s">
        <v>53</v>
      </c>
      <c r="F19" s="46" t="s">
        <v>39</v>
      </c>
      <c r="G19" s="47" t="s">
        <v>67</v>
      </c>
      <c r="H19" s="48">
        <v>1</v>
      </c>
      <c r="I19" s="46" t="s">
        <v>39</v>
      </c>
      <c r="J19" s="49">
        <v>2</v>
      </c>
      <c r="K19" s="57">
        <f>IF(OR(Resultat!H19="",H19="",Resultat!J19="",J19=""),"",IF((H19=Resultat!H19)*(J19=Resultat!J19),Resultat!$AA$3+Resultat!$AA$4,IF(((H19-J19)&gt;0)*((Resultat!H19-Resultat!J19)&gt;0),Resultat!$AA$3,IF(((H19-J19)&lt;0)*((Resultat!H19-Resultat!J19)&lt;0),Resultat!$AA$3,IF(((H19-J19)=0)*((Resultat!H19-Resultat!J19)=0),Resultat!$AA$3,0)))))</f>
        <v>0</v>
      </c>
      <c r="L19" s="69">
        <f t="shared" si="0"/>
        <v>2</v>
      </c>
      <c r="N19" s="64" t="s">
        <v>94</v>
      </c>
      <c r="O19" s="65"/>
      <c r="P19" s="66">
        <f>COUNTIF(Resultat!$K$13:$AB$64,O19)*Resultat!$AA$6</f>
        <v>0</v>
      </c>
    </row>
    <row r="20" spans="1:16" x14ac:dyDescent="0.15">
      <c r="A20" s="42">
        <v>8</v>
      </c>
      <c r="B20" s="43">
        <v>42534</v>
      </c>
      <c r="C20" s="44" t="s">
        <v>59</v>
      </c>
      <c r="D20" s="42" t="s">
        <v>46</v>
      </c>
      <c r="E20" s="45" t="s">
        <v>44</v>
      </c>
      <c r="F20" s="46" t="s">
        <v>39</v>
      </c>
      <c r="G20" s="47" t="s">
        <v>68</v>
      </c>
      <c r="H20" s="48">
        <v>1</v>
      </c>
      <c r="I20" s="46" t="s">
        <v>39</v>
      </c>
      <c r="J20" s="49">
        <v>2</v>
      </c>
      <c r="K20" s="57">
        <f>IF(OR(Resultat!H20="",H20="",Resultat!J20="",J20=""),"",IF((H20=Resultat!H20)*(J20=Resultat!J20),Resultat!$AA$3+Resultat!$AA$4,IF(((H20-J20)&gt;0)*((Resultat!H20-Resultat!J20)&gt;0),Resultat!$AA$3,IF(((H20-J20)&lt;0)*((Resultat!H20-Resultat!J20)&lt;0),Resultat!$AA$3,IF(((H20-J20)=0)*((Resultat!H20-Resultat!J20)=0),Resultat!$AA$3,0)))))</f>
        <v>0</v>
      </c>
      <c r="L20" s="69">
        <f t="shared" si="0"/>
        <v>2</v>
      </c>
    </row>
    <row r="21" spans="1:16" x14ac:dyDescent="0.15">
      <c r="A21" s="42">
        <v>9</v>
      </c>
      <c r="B21" s="43">
        <v>42534</v>
      </c>
      <c r="C21" s="44" t="s">
        <v>41</v>
      </c>
      <c r="D21" s="42" t="s">
        <v>49</v>
      </c>
      <c r="E21" s="45" t="s">
        <v>69</v>
      </c>
      <c r="F21" s="46" t="s">
        <v>39</v>
      </c>
      <c r="G21" s="47" t="s">
        <v>70</v>
      </c>
      <c r="H21" s="48">
        <v>1</v>
      </c>
      <c r="I21" s="46" t="s">
        <v>39</v>
      </c>
      <c r="J21" s="49">
        <v>2</v>
      </c>
      <c r="K21" s="57">
        <f>IF(OR(Resultat!H21="",H21="",Resultat!J21="",J21=""),"",IF((H21=Resultat!H21)*(J21=Resultat!J21),Resultat!$AA$3+Resultat!$AA$4,IF(((H21-J21)&gt;0)*((Resultat!H21-Resultat!J21)&gt;0),Resultat!$AA$3,IF(((H21-J21)&lt;0)*((Resultat!H21-Resultat!J21)&lt;0),Resultat!$AA$3,IF(((H21-J21)=0)*((Resultat!H21-Resultat!J21)=0),Resultat!$AA$3,0)))))</f>
        <v>0</v>
      </c>
      <c r="L21" s="69">
        <f t="shared" si="0"/>
        <v>2</v>
      </c>
    </row>
    <row r="22" spans="1:16" x14ac:dyDescent="0.15">
      <c r="A22" s="42">
        <v>10</v>
      </c>
      <c r="B22" s="43">
        <v>42534</v>
      </c>
      <c r="C22" s="44" t="s">
        <v>42</v>
      </c>
      <c r="D22" s="42" t="s">
        <v>49</v>
      </c>
      <c r="E22" s="45" t="s">
        <v>55</v>
      </c>
      <c r="F22" s="46" t="s">
        <v>39</v>
      </c>
      <c r="G22" s="47" t="s">
        <v>48</v>
      </c>
      <c r="H22" s="48">
        <v>1</v>
      </c>
      <c r="I22" s="46" t="s">
        <v>39</v>
      </c>
      <c r="J22" s="49">
        <v>2</v>
      </c>
      <c r="K22" s="57">
        <f>IF(OR(Resultat!H22="",H22="",Resultat!J22="",J22=""),"",IF((H22=Resultat!H22)*(J22=Resultat!J22),Resultat!$AA$3+Resultat!$AA$4,IF(((H22-J22)&gt;0)*((Resultat!H22-Resultat!J22)&gt;0),Resultat!$AA$3,IF(((H22-J22)&lt;0)*((Resultat!H22-Resultat!J22)&lt;0),Resultat!$AA$3,IF(((H22-J22)=0)*((Resultat!H22-Resultat!J22)=0),Resultat!$AA$3,0)))))</f>
        <v>0</v>
      </c>
      <c r="L22" s="69">
        <f t="shared" si="0"/>
        <v>2</v>
      </c>
    </row>
    <row r="23" spans="1:16" x14ac:dyDescent="0.15">
      <c r="A23" s="42">
        <v>11</v>
      </c>
      <c r="B23" s="43">
        <v>42535</v>
      </c>
      <c r="C23" s="44" t="s">
        <v>41</v>
      </c>
      <c r="D23" s="42" t="s">
        <v>52</v>
      </c>
      <c r="E23" s="45" t="s">
        <v>71</v>
      </c>
      <c r="F23" s="46" t="s">
        <v>39</v>
      </c>
      <c r="G23" s="47" t="s">
        <v>72</v>
      </c>
      <c r="H23" s="48">
        <v>1</v>
      </c>
      <c r="I23" s="46" t="s">
        <v>39</v>
      </c>
      <c r="J23" s="49">
        <v>2</v>
      </c>
      <c r="K23" s="57">
        <f>IF(OR(Resultat!H23="",H23="",Resultat!J23="",J23=""),"",IF((H23=Resultat!H23)*(J23=Resultat!J23),Resultat!$AA$3+Resultat!$AA$4,IF(((H23-J23)&gt;0)*((Resultat!H23-Resultat!J23)&gt;0),Resultat!$AA$3,IF(((H23-J23)&lt;0)*((Resultat!H23-Resultat!J23)&lt;0),Resultat!$AA$3,IF(((H23-J23)=0)*((Resultat!H23-Resultat!J23)=0),Resultat!$AA$3,0)))))</f>
        <v>0</v>
      </c>
      <c r="L23" s="69">
        <f t="shared" si="0"/>
        <v>2</v>
      </c>
    </row>
    <row r="24" spans="1:16" x14ac:dyDescent="0.15">
      <c r="A24" s="42">
        <v>12</v>
      </c>
      <c r="B24" s="43">
        <v>42535</v>
      </c>
      <c r="C24" s="44" t="s">
        <v>42</v>
      </c>
      <c r="D24" s="42" t="s">
        <v>52</v>
      </c>
      <c r="E24" s="45" t="s">
        <v>54</v>
      </c>
      <c r="F24" s="46" t="s">
        <v>39</v>
      </c>
      <c r="G24" s="47" t="s">
        <v>73</v>
      </c>
      <c r="H24" s="48">
        <v>1</v>
      </c>
      <c r="I24" s="46" t="s">
        <v>39</v>
      </c>
      <c r="J24" s="49">
        <v>2</v>
      </c>
      <c r="K24" s="57">
        <f>IF(OR(Resultat!H24="",H24="",Resultat!J24="",J24=""),"",IF((H24=Resultat!H24)*(J24=Resultat!J24),Resultat!$AA$3+Resultat!$AA$4,IF(((H24-J24)&gt;0)*((Resultat!H24-Resultat!J24)&gt;0),Resultat!$AA$3,IF(((H24-J24)&lt;0)*((Resultat!H24-Resultat!J24)&lt;0),Resultat!$AA$3,IF(((H24-J24)=0)*((Resultat!H24-Resultat!J24)=0),Resultat!$AA$3,0)))))</f>
        <v>3</v>
      </c>
      <c r="L24" s="69">
        <f t="shared" si="0"/>
        <v>2</v>
      </c>
    </row>
    <row r="25" spans="1:16" x14ac:dyDescent="0.15">
      <c r="A25" s="42">
        <v>13</v>
      </c>
      <c r="B25" s="43">
        <v>42536</v>
      </c>
      <c r="C25" s="44" t="s">
        <v>59</v>
      </c>
      <c r="D25" s="42" t="s">
        <v>43</v>
      </c>
      <c r="E25" s="45" t="s">
        <v>56</v>
      </c>
      <c r="F25" s="46" t="s">
        <v>39</v>
      </c>
      <c r="G25" s="47" t="s">
        <v>63</v>
      </c>
      <c r="H25" s="48">
        <v>1</v>
      </c>
      <c r="I25" s="46" t="s">
        <v>39</v>
      </c>
      <c r="J25" s="49">
        <v>2</v>
      </c>
      <c r="K25" s="57">
        <f>IF(OR(Resultat!H25="",H25="",Resultat!J25="",J25=""),"",IF((H25=Resultat!H25)*(J25=Resultat!J25),Resultat!$AA$3+Resultat!$AA$4,IF(((H25-J25)&gt;0)*((Resultat!H25-Resultat!J25)&gt;0),Resultat!$AA$3,IF(((H25-J25)&lt;0)*((Resultat!H25-Resultat!J25)&lt;0),Resultat!$AA$3,IF(((H25-J25)=0)*((Resultat!H25-Resultat!J25)=0),Resultat!$AA$3,0)))))</f>
        <v>0</v>
      </c>
      <c r="L25" s="69">
        <f t="shared" si="0"/>
        <v>2</v>
      </c>
    </row>
    <row r="26" spans="1:16" x14ac:dyDescent="0.15">
      <c r="A26" s="42">
        <v>14</v>
      </c>
      <c r="B26" s="43">
        <v>42536</v>
      </c>
      <c r="C26" s="44" t="s">
        <v>41</v>
      </c>
      <c r="D26" s="42" t="s">
        <v>38</v>
      </c>
      <c r="E26" s="45" t="s">
        <v>60</v>
      </c>
      <c r="F26" s="46" t="s">
        <v>39</v>
      </c>
      <c r="G26" s="47" t="s">
        <v>50</v>
      </c>
      <c r="H26" s="48">
        <v>1</v>
      </c>
      <c r="I26" s="46" t="s">
        <v>39</v>
      </c>
      <c r="J26" s="49">
        <v>2</v>
      </c>
      <c r="K26" s="57">
        <f>IF(OR(Resultat!H26="",H26="",Resultat!J26="",J26=""),"",IF((H26=Resultat!H26)*(J26=Resultat!J26),Resultat!$AA$3+Resultat!$AA$4,IF(((H26-J26)&gt;0)*((Resultat!H26-Resultat!J26)&gt;0),Resultat!$AA$3,IF(((H26-J26)&lt;0)*((Resultat!H26-Resultat!J26)&lt;0),Resultat!$AA$3,IF(((H26-J26)=0)*((Resultat!H26-Resultat!J26)=0),Resultat!$AA$3,0)))))</f>
        <v>0</v>
      </c>
      <c r="L26" s="69">
        <f t="shared" si="0"/>
        <v>2</v>
      </c>
    </row>
    <row r="27" spans="1:16" x14ac:dyDescent="0.15">
      <c r="A27" s="42">
        <v>15</v>
      </c>
      <c r="B27" s="43">
        <v>42536</v>
      </c>
      <c r="C27" s="44" t="s">
        <v>42</v>
      </c>
      <c r="D27" s="42" t="s">
        <v>38</v>
      </c>
      <c r="E27" s="45" t="s">
        <v>51</v>
      </c>
      <c r="F27" s="46" t="s">
        <v>39</v>
      </c>
      <c r="G27" s="47" t="s">
        <v>61</v>
      </c>
      <c r="H27" s="48">
        <v>1</v>
      </c>
      <c r="I27" s="46" t="s">
        <v>39</v>
      </c>
      <c r="J27" s="49">
        <v>2</v>
      </c>
      <c r="K27" s="57">
        <f>IF(OR(Resultat!H27="",H27="",Resultat!J27="",J27=""),"",IF((H27=Resultat!H27)*(J27=Resultat!J27),Resultat!$AA$3+Resultat!$AA$4,IF(((H27-J27)&gt;0)*((Resultat!H27-Resultat!J27)&gt;0),Resultat!$AA$3,IF(((H27-J27)&lt;0)*((Resultat!H27-Resultat!J27)&lt;0),Resultat!$AA$3,IF(((H27-J27)=0)*((Resultat!H27-Resultat!J27)=0),Resultat!$AA$3,0)))))</f>
        <v>0</v>
      </c>
      <c r="L27" s="69">
        <f t="shared" si="0"/>
        <v>2</v>
      </c>
    </row>
    <row r="28" spans="1:16" x14ac:dyDescent="0.15">
      <c r="A28" s="42">
        <v>16</v>
      </c>
      <c r="B28" s="43">
        <v>42537</v>
      </c>
      <c r="C28" s="44" t="s">
        <v>59</v>
      </c>
      <c r="D28" s="42" t="s">
        <v>43</v>
      </c>
      <c r="E28" s="45" t="s">
        <v>47</v>
      </c>
      <c r="F28" s="46" t="s">
        <v>39</v>
      </c>
      <c r="G28" s="47" t="s">
        <v>62</v>
      </c>
      <c r="H28" s="48">
        <v>1</v>
      </c>
      <c r="I28" s="46" t="s">
        <v>39</v>
      </c>
      <c r="J28" s="49">
        <v>2</v>
      </c>
      <c r="K28" s="57">
        <f>IF(OR(Resultat!H28="",H28="",Resultat!J28="",J28=""),"",IF((H28=Resultat!H28)*(J28=Resultat!J28),Resultat!$AA$3+Resultat!$AA$4,IF(((H28-J28)&gt;0)*((Resultat!H28-Resultat!J28)&gt;0),Resultat!$AA$3,IF(((H28-J28)&lt;0)*((Resultat!H28-Resultat!J28)&lt;0),Resultat!$AA$3,IF(((H28-J28)=0)*((Resultat!H28-Resultat!J28)=0),Resultat!$AA$3,0)))))</f>
        <v>0</v>
      </c>
      <c r="L28" s="69">
        <f t="shared" si="0"/>
        <v>2</v>
      </c>
    </row>
    <row r="29" spans="1:16" x14ac:dyDescent="0.15">
      <c r="A29" s="42">
        <v>17</v>
      </c>
      <c r="B29" s="43">
        <v>42537</v>
      </c>
      <c r="C29" s="44" t="s">
        <v>41</v>
      </c>
      <c r="D29" s="42" t="s">
        <v>45</v>
      </c>
      <c r="E29" s="45" t="s">
        <v>67</v>
      </c>
      <c r="F29" s="46" t="s">
        <v>39</v>
      </c>
      <c r="G29" s="47" t="s">
        <v>66</v>
      </c>
      <c r="H29" s="48">
        <v>1</v>
      </c>
      <c r="I29" s="46" t="s">
        <v>39</v>
      </c>
      <c r="J29" s="49">
        <v>2</v>
      </c>
      <c r="K29" s="57">
        <f>IF(OR(Resultat!H29="",H29="",Resultat!J29="",J29=""),"",IF((H29=Resultat!H29)*(J29=Resultat!J29),Resultat!$AA$3+Resultat!$AA$4,IF(((H29-J29)&gt;0)*((Resultat!H29-Resultat!J29)&gt;0),Resultat!$AA$3,IF(((H29-J29)&lt;0)*((Resultat!H29-Resultat!J29)&lt;0),Resultat!$AA$3,IF(((H29-J29)=0)*((Resultat!H29-Resultat!J29)=0),Resultat!$AA$3,0)))))</f>
        <v>3</v>
      </c>
      <c r="L29" s="69">
        <f t="shared" si="0"/>
        <v>2</v>
      </c>
    </row>
    <row r="30" spans="1:16" x14ac:dyDescent="0.15">
      <c r="A30" s="42">
        <v>18</v>
      </c>
      <c r="B30" s="43">
        <v>42537</v>
      </c>
      <c r="C30" s="44" t="s">
        <v>42</v>
      </c>
      <c r="D30" s="42" t="s">
        <v>45</v>
      </c>
      <c r="E30" s="45" t="s">
        <v>53</v>
      </c>
      <c r="F30" s="46" t="s">
        <v>39</v>
      </c>
      <c r="G30" s="47" t="s">
        <v>65</v>
      </c>
      <c r="H30" s="48">
        <v>1</v>
      </c>
      <c r="I30" s="46" t="s">
        <v>39</v>
      </c>
      <c r="J30" s="49">
        <v>2</v>
      </c>
      <c r="K30" s="57">
        <f>IF(OR(Resultat!H30="",H30="",Resultat!J30="",J30=""),"",IF((H30=Resultat!H30)*(J30=Resultat!J30),Resultat!$AA$3+Resultat!$AA$4,IF(((H30-J30)&gt;0)*((Resultat!H30-Resultat!J30)&gt;0),Resultat!$AA$3,IF(((H30-J30)&lt;0)*((Resultat!H30-Resultat!J30)&lt;0),Resultat!$AA$3,IF(((H30-J30)=0)*((Resultat!H30-Resultat!J30)=0),Resultat!$AA$3,0)))))</f>
        <v>0</v>
      </c>
      <c r="L30" s="69">
        <f t="shared" si="0"/>
        <v>2</v>
      </c>
    </row>
    <row r="31" spans="1:16" x14ac:dyDescent="0.15">
      <c r="A31" s="42">
        <v>19</v>
      </c>
      <c r="B31" s="43">
        <v>42538</v>
      </c>
      <c r="C31" s="44" t="s">
        <v>59</v>
      </c>
      <c r="D31" s="42" t="s">
        <v>49</v>
      </c>
      <c r="E31" s="45" t="s">
        <v>48</v>
      </c>
      <c r="F31" s="46" t="s">
        <v>39</v>
      </c>
      <c r="G31" s="47" t="s">
        <v>70</v>
      </c>
      <c r="H31" s="48">
        <v>1</v>
      </c>
      <c r="I31" s="46" t="s">
        <v>39</v>
      </c>
      <c r="J31" s="49">
        <v>2</v>
      </c>
      <c r="K31" s="57">
        <f>IF(OR(Resultat!H31="",H31="",Resultat!J31="",J31=""),"",IF((H31=Resultat!H31)*(J31=Resultat!J31),Resultat!$AA$3+Resultat!$AA$4,IF(((H31-J31)&gt;0)*((Resultat!H31-Resultat!J31)&gt;0),Resultat!$AA$3,IF(((H31-J31)&lt;0)*((Resultat!H31-Resultat!J31)&lt;0),Resultat!$AA$3,IF(((H31-J31)=0)*((Resultat!H31-Resultat!J31)=0),Resultat!$AA$3,0)))))</f>
        <v>0</v>
      </c>
      <c r="L31" s="69">
        <f t="shared" si="0"/>
        <v>2</v>
      </c>
    </row>
    <row r="32" spans="1:16" x14ac:dyDescent="0.15">
      <c r="A32" s="42">
        <v>20</v>
      </c>
      <c r="B32" s="43">
        <v>42538</v>
      </c>
      <c r="C32" s="50" t="s">
        <v>41</v>
      </c>
      <c r="D32" s="42" t="s">
        <v>46</v>
      </c>
      <c r="E32" s="45" t="s">
        <v>68</v>
      </c>
      <c r="F32" s="46" t="s">
        <v>39</v>
      </c>
      <c r="G32" s="47" t="s">
        <v>40</v>
      </c>
      <c r="H32" s="48">
        <v>1</v>
      </c>
      <c r="I32" s="46" t="s">
        <v>39</v>
      </c>
      <c r="J32" s="49">
        <v>2</v>
      </c>
      <c r="K32" s="57">
        <f>IF(OR(Resultat!H32="",H32="",Resultat!J32="",J32=""),"",IF((H32=Resultat!H32)*(J32=Resultat!J32),Resultat!$AA$3+Resultat!$AA$4,IF(((H32-J32)&gt;0)*((Resultat!H32-Resultat!J32)&gt;0),Resultat!$AA$3,IF(((H32-J32)&lt;0)*((Resultat!H32-Resultat!J32)&lt;0),Resultat!$AA$3,IF(((H32-J32)=0)*((Resultat!H32-Resultat!J32)=0),Resultat!$AA$3,0)))))</f>
        <v>0</v>
      </c>
      <c r="L32" s="69">
        <f t="shared" si="0"/>
        <v>2</v>
      </c>
    </row>
    <row r="33" spans="1:12" x14ac:dyDescent="0.15">
      <c r="A33" s="42">
        <v>21</v>
      </c>
      <c r="B33" s="43">
        <v>42538</v>
      </c>
      <c r="C33" s="44" t="s">
        <v>42</v>
      </c>
      <c r="D33" s="42" t="s">
        <v>46</v>
      </c>
      <c r="E33" s="45" t="s">
        <v>44</v>
      </c>
      <c r="F33" s="46" t="s">
        <v>39</v>
      </c>
      <c r="G33" s="47" t="s">
        <v>64</v>
      </c>
      <c r="H33" s="48">
        <v>2</v>
      </c>
      <c r="I33" s="46" t="s">
        <v>39</v>
      </c>
      <c r="J33" s="49">
        <v>1</v>
      </c>
      <c r="K33" s="57">
        <f>IF(OR(Resultat!H33="",H33="",Resultat!J33="",J33=""),"",IF((H33=Resultat!H33)*(J33=Resultat!J33),Resultat!$AA$3+Resultat!$AA$4,IF(((H33-J33)&gt;0)*((Resultat!H33-Resultat!J33)&gt;0),Resultat!$AA$3,IF(((H33-J33)&lt;0)*((Resultat!H33-Resultat!J33)&lt;0),Resultat!$AA$3,IF(((H33-J33)=0)*((Resultat!H33-Resultat!J33)=0),Resultat!$AA$3,0)))))</f>
        <v>0</v>
      </c>
      <c r="L33" s="69">
        <f t="shared" si="0"/>
        <v>1</v>
      </c>
    </row>
    <row r="34" spans="1:12" x14ac:dyDescent="0.15">
      <c r="A34" s="42">
        <v>22</v>
      </c>
      <c r="B34" s="43">
        <v>42539</v>
      </c>
      <c r="C34" s="44" t="s">
        <v>59</v>
      </c>
      <c r="D34" s="42" t="s">
        <v>49</v>
      </c>
      <c r="E34" s="45" t="s">
        <v>55</v>
      </c>
      <c r="F34" s="46" t="s">
        <v>39</v>
      </c>
      <c r="G34" s="47" t="s">
        <v>69</v>
      </c>
      <c r="H34" s="48">
        <v>2</v>
      </c>
      <c r="I34" s="46" t="s">
        <v>39</v>
      </c>
      <c r="J34" s="49">
        <v>1</v>
      </c>
      <c r="K34" s="57">
        <f>IF(OR(Resultat!H34="",H34="",Resultat!J34="",J34=""),"",IF((H34=Resultat!H34)*(J34=Resultat!J34),Resultat!$AA$3+Resultat!$AA$4,IF(((H34-J34)&gt;0)*((Resultat!H34-Resultat!J34)&gt;0),Resultat!$AA$3,IF(((H34-J34)&lt;0)*((Resultat!H34-Resultat!J34)&lt;0),Resultat!$AA$3,IF(((H34-J34)=0)*((Resultat!H34-Resultat!J34)=0),Resultat!$AA$3,0)))))</f>
        <v>0</v>
      </c>
      <c r="L34" s="69">
        <f t="shared" si="0"/>
        <v>1</v>
      </c>
    </row>
    <row r="35" spans="1:12" x14ac:dyDescent="0.15">
      <c r="A35" s="42">
        <v>23</v>
      </c>
      <c r="B35" s="43">
        <v>42539</v>
      </c>
      <c r="C35" s="44" t="s">
        <v>41</v>
      </c>
      <c r="D35" s="42" t="s">
        <v>52</v>
      </c>
      <c r="E35" s="45" t="s">
        <v>73</v>
      </c>
      <c r="F35" s="46" t="s">
        <v>39</v>
      </c>
      <c r="G35" s="47" t="s">
        <v>72</v>
      </c>
      <c r="H35" s="48">
        <v>2</v>
      </c>
      <c r="I35" s="46" t="s">
        <v>39</v>
      </c>
      <c r="J35" s="49">
        <v>1</v>
      </c>
      <c r="K35" s="57">
        <f>IF(OR(Resultat!H35="",H35="",Resultat!J35="",J35=""),"",IF((H35=Resultat!H35)*(J35=Resultat!J35),Resultat!$AA$3+Resultat!$AA$4,IF(((H35-J35)&gt;0)*((Resultat!H35-Resultat!J35)&gt;0),Resultat!$AA$3,IF(((H35-J35)&lt;0)*((Resultat!H35-Resultat!J35)&lt;0),Resultat!$AA$3,IF(((H35-J35)=0)*((Resultat!H35-Resultat!J35)=0),Resultat!$AA$3,0)))))</f>
        <v>0</v>
      </c>
      <c r="L35" s="69">
        <f t="shared" si="0"/>
        <v>1</v>
      </c>
    </row>
    <row r="36" spans="1:12" x14ac:dyDescent="0.15">
      <c r="A36" s="42">
        <v>24</v>
      </c>
      <c r="B36" s="43">
        <v>42539</v>
      </c>
      <c r="C36" s="44" t="s">
        <v>42</v>
      </c>
      <c r="D36" s="42" t="s">
        <v>52</v>
      </c>
      <c r="E36" s="45" t="s">
        <v>54</v>
      </c>
      <c r="F36" s="46" t="s">
        <v>39</v>
      </c>
      <c r="G36" s="47" t="s">
        <v>71</v>
      </c>
      <c r="H36" s="48">
        <v>2</v>
      </c>
      <c r="I36" s="46" t="s">
        <v>39</v>
      </c>
      <c r="J36" s="49">
        <v>1</v>
      </c>
      <c r="K36" s="57">
        <f>IF(OR(Resultat!H36="",H36="",Resultat!J36="",J36=""),"",IF((H36=Resultat!H36)*(J36=Resultat!J36),Resultat!$AA$3+Resultat!$AA$4,IF(((H36-J36)&gt;0)*((Resultat!H36-Resultat!J36)&gt;0),Resultat!$AA$3,IF(((H36-J36)&lt;0)*((Resultat!H36-Resultat!J36)&lt;0),Resultat!$AA$3,IF(((H36-J36)=0)*((Resultat!H36-Resultat!J36)=0),Resultat!$AA$3,0)))))</f>
        <v>0</v>
      </c>
      <c r="L36" s="69">
        <f t="shared" si="0"/>
        <v>1</v>
      </c>
    </row>
    <row r="37" spans="1:12" x14ac:dyDescent="0.15">
      <c r="A37" s="42">
        <v>25</v>
      </c>
      <c r="B37" s="43">
        <v>42540</v>
      </c>
      <c r="C37" s="44" t="s">
        <v>42</v>
      </c>
      <c r="D37" s="42" t="s">
        <v>38</v>
      </c>
      <c r="E37" s="45" t="s">
        <v>50</v>
      </c>
      <c r="F37" s="46" t="s">
        <v>39</v>
      </c>
      <c r="G37" s="47" t="s">
        <v>51</v>
      </c>
      <c r="H37" s="48">
        <v>2</v>
      </c>
      <c r="I37" s="46" t="s">
        <v>39</v>
      </c>
      <c r="J37" s="49">
        <v>1</v>
      </c>
      <c r="K37" s="57">
        <f>IF(OR(Resultat!H37="",H37="",Resultat!J37="",J37=""),"",IF((H37=Resultat!H37)*(J37=Resultat!J37),Resultat!$AA$3+Resultat!$AA$4,IF(((H37-J37)&gt;0)*((Resultat!H37-Resultat!J37)&gt;0),Resultat!$AA$3,IF(((H37-J37)&lt;0)*((Resultat!H37-Resultat!J37)&lt;0),Resultat!$AA$3,IF(((H37-J37)=0)*((Resultat!H37-Resultat!J37)=0),Resultat!$AA$3,0)))))</f>
        <v>2</v>
      </c>
      <c r="L37" s="69">
        <f t="shared" si="0"/>
        <v>1</v>
      </c>
    </row>
    <row r="38" spans="1:12" x14ac:dyDescent="0.15">
      <c r="A38" s="42">
        <v>26</v>
      </c>
      <c r="B38" s="43">
        <v>42540</v>
      </c>
      <c r="C38" s="44" t="s">
        <v>42</v>
      </c>
      <c r="D38" s="42" t="s">
        <v>38</v>
      </c>
      <c r="E38" s="45" t="s">
        <v>60</v>
      </c>
      <c r="F38" s="46" t="s">
        <v>39</v>
      </c>
      <c r="G38" s="47" t="s">
        <v>61</v>
      </c>
      <c r="H38" s="48">
        <v>2</v>
      </c>
      <c r="I38" s="46" t="s">
        <v>39</v>
      </c>
      <c r="J38" s="49">
        <v>1</v>
      </c>
      <c r="K38" s="57">
        <f>IF(OR(Resultat!H38="",H38="",Resultat!J38="",J38=""),"",IF((H38=Resultat!H38)*(J38=Resultat!J38),Resultat!$AA$3+Resultat!$AA$4,IF(((H38-J38)&gt;0)*((Resultat!H38-Resultat!J38)&gt;0),Resultat!$AA$3,IF(((H38-J38)&lt;0)*((Resultat!H38-Resultat!J38)&lt;0),Resultat!$AA$3,IF(((H38-J38)=0)*((Resultat!H38-Resultat!J38)=0),Resultat!$AA$3,0)))))</f>
        <v>3</v>
      </c>
      <c r="L38" s="69">
        <f t="shared" si="0"/>
        <v>1</v>
      </c>
    </row>
    <row r="39" spans="1:12" x14ac:dyDescent="0.15">
      <c r="A39" s="42">
        <v>27</v>
      </c>
      <c r="B39" s="43">
        <v>42541</v>
      </c>
      <c r="C39" s="44" t="s">
        <v>42</v>
      </c>
      <c r="D39" s="42" t="s">
        <v>43</v>
      </c>
      <c r="E39" s="45" t="s">
        <v>63</v>
      </c>
      <c r="F39" s="46" t="s">
        <v>39</v>
      </c>
      <c r="G39" s="47" t="s">
        <v>47</v>
      </c>
      <c r="H39" s="48">
        <v>2</v>
      </c>
      <c r="I39" s="46" t="s">
        <v>39</v>
      </c>
      <c r="J39" s="49">
        <v>1</v>
      </c>
      <c r="K39" s="57">
        <f>IF(OR(Resultat!H39="",H39="",Resultat!J39="",J39=""),"",IF((H39=Resultat!H39)*(J39=Resultat!J39),Resultat!$AA$3+Resultat!$AA$4,IF(((H39-J39)&gt;0)*((Resultat!H39-Resultat!J39)&gt;0),Resultat!$AA$3,IF(((H39-J39)&lt;0)*((Resultat!H39-Resultat!J39)&lt;0),Resultat!$AA$3,IF(((H39-J39)=0)*((Resultat!H39-Resultat!J39)=0),Resultat!$AA$3,0)))))</f>
        <v>2</v>
      </c>
      <c r="L39" s="69">
        <f t="shared" si="0"/>
        <v>1</v>
      </c>
    </row>
    <row r="40" spans="1:12" x14ac:dyDescent="0.15">
      <c r="A40" s="42">
        <v>28</v>
      </c>
      <c r="B40" s="43">
        <v>42541</v>
      </c>
      <c r="C40" s="44" t="s">
        <v>42</v>
      </c>
      <c r="D40" s="42" t="s">
        <v>43</v>
      </c>
      <c r="E40" s="45" t="s">
        <v>56</v>
      </c>
      <c r="F40" s="46" t="s">
        <v>39</v>
      </c>
      <c r="G40" s="47" t="s">
        <v>62</v>
      </c>
      <c r="H40" s="48">
        <v>2</v>
      </c>
      <c r="I40" s="46" t="s">
        <v>39</v>
      </c>
      <c r="J40" s="49">
        <v>1</v>
      </c>
      <c r="K40" s="57">
        <f>IF(OR(Resultat!H40="",H40="",Resultat!J40="",J40=""),"",IF((H40=Resultat!H40)*(J40=Resultat!J40),Resultat!$AA$3+Resultat!$AA$4,IF(((H40-J40)&gt;0)*((Resultat!H40-Resultat!J40)&gt;0),Resultat!$AA$3,IF(((H40-J40)&lt;0)*((Resultat!H40-Resultat!J40)&lt;0),Resultat!$AA$3,IF(((H40-J40)=0)*((Resultat!H40-Resultat!J40)=0),Resultat!$AA$3,0)))))</f>
        <v>0</v>
      </c>
      <c r="L40" s="69">
        <f t="shared" si="0"/>
        <v>1</v>
      </c>
    </row>
    <row r="41" spans="1:12" x14ac:dyDescent="0.15">
      <c r="A41" s="42">
        <v>29</v>
      </c>
      <c r="B41" s="43">
        <v>42542</v>
      </c>
      <c r="C41" s="44" t="s">
        <v>41</v>
      </c>
      <c r="D41" s="42" t="s">
        <v>45</v>
      </c>
      <c r="E41" s="45" t="s">
        <v>66</v>
      </c>
      <c r="F41" s="46" t="s">
        <v>39</v>
      </c>
      <c r="G41" s="47" t="s">
        <v>53</v>
      </c>
      <c r="H41" s="48">
        <v>2</v>
      </c>
      <c r="I41" s="46" t="s">
        <v>39</v>
      </c>
      <c r="J41" s="49">
        <v>1</v>
      </c>
      <c r="K41" s="57">
        <f>IF(OR(Resultat!H41="",H41="",Resultat!J41="",J41=""),"",IF((H41=Resultat!H41)*(J41=Resultat!J41),Resultat!$AA$3+Resultat!$AA$4,IF(((H41-J41)&gt;0)*((Resultat!H41-Resultat!J41)&gt;0),Resultat!$AA$3,IF(((H41-J41)&lt;0)*((Resultat!H41-Resultat!J41)&lt;0),Resultat!$AA$3,IF(((H41-J41)=0)*((Resultat!H41-Resultat!J41)=0),Resultat!$AA$3,0)))))</f>
        <v>2</v>
      </c>
      <c r="L41" s="69">
        <f t="shared" si="0"/>
        <v>1</v>
      </c>
    </row>
    <row r="42" spans="1:12" x14ac:dyDescent="0.15">
      <c r="A42" s="42">
        <v>30</v>
      </c>
      <c r="B42" s="43">
        <v>42542</v>
      </c>
      <c r="C42" s="44" t="s">
        <v>41</v>
      </c>
      <c r="D42" s="42" t="s">
        <v>45</v>
      </c>
      <c r="E42" s="45" t="s">
        <v>67</v>
      </c>
      <c r="F42" s="46" t="s">
        <v>39</v>
      </c>
      <c r="G42" s="47" t="s">
        <v>65</v>
      </c>
      <c r="H42" s="48">
        <v>2</v>
      </c>
      <c r="I42" s="46" t="s">
        <v>39</v>
      </c>
      <c r="J42" s="49">
        <v>1</v>
      </c>
      <c r="K42" s="57">
        <f>IF(OR(Resultat!H42="",H42="",Resultat!J42="",J42=""),"",IF((H42=Resultat!H42)*(J42=Resultat!J42),Resultat!$AA$3+Resultat!$AA$4,IF(((H42-J42)&gt;0)*((Resultat!H42-Resultat!J42)&gt;0),Resultat!$AA$3,IF(((H42-J42)&lt;0)*((Resultat!H42-Resultat!J42)&lt;0),Resultat!$AA$3,IF(((H42-J42)=0)*((Resultat!H42-Resultat!J42)=0),Resultat!$AA$3,0)))))</f>
        <v>0</v>
      </c>
      <c r="L42" s="69">
        <f t="shared" si="0"/>
        <v>1</v>
      </c>
    </row>
    <row r="43" spans="1:12" x14ac:dyDescent="0.15">
      <c r="A43" s="42">
        <v>31</v>
      </c>
      <c r="B43" s="43">
        <v>42542</v>
      </c>
      <c r="C43" s="44" t="s">
        <v>42</v>
      </c>
      <c r="D43" s="42" t="s">
        <v>46</v>
      </c>
      <c r="E43" s="45" t="s">
        <v>40</v>
      </c>
      <c r="F43" s="46" t="s">
        <v>39</v>
      </c>
      <c r="G43" s="47" t="s">
        <v>44</v>
      </c>
      <c r="H43" s="48">
        <v>2</v>
      </c>
      <c r="I43" s="46" t="s">
        <v>39</v>
      </c>
      <c r="J43" s="49">
        <v>1</v>
      </c>
      <c r="K43" s="57">
        <f>IF(OR(Resultat!H43="",H43="",Resultat!J43="",J43=""),"",IF((H43=Resultat!H43)*(J43=Resultat!J43),Resultat!$AA$3+Resultat!$AA$4,IF(((H43-J43)&gt;0)*((Resultat!H43-Resultat!J43)&gt;0),Resultat!$AA$3,IF(((H43-J43)&lt;0)*((Resultat!H43-Resultat!J43)&lt;0),Resultat!$AA$3,IF(((H43-J43)=0)*((Resultat!H43-Resultat!J43)=0),Resultat!$AA$3,0)))))</f>
        <v>0</v>
      </c>
      <c r="L43" s="69">
        <f t="shared" si="0"/>
        <v>1</v>
      </c>
    </row>
    <row r="44" spans="1:12" x14ac:dyDescent="0.15">
      <c r="A44" s="42">
        <v>32</v>
      </c>
      <c r="B44" s="43">
        <v>42542</v>
      </c>
      <c r="C44" s="44" t="s">
        <v>42</v>
      </c>
      <c r="D44" s="42" t="s">
        <v>46</v>
      </c>
      <c r="E44" s="45" t="s">
        <v>68</v>
      </c>
      <c r="F44" s="46" t="s">
        <v>39</v>
      </c>
      <c r="G44" s="47" t="s">
        <v>64</v>
      </c>
      <c r="H44" s="48"/>
      <c r="I44" s="46" t="s">
        <v>39</v>
      </c>
      <c r="J44" s="49"/>
      <c r="K44" s="57" t="str">
        <f>IF(OR(Resultat!H44="",H44="",Resultat!J44="",J44=""),"",IF((H44=Resultat!H44)*(J44=Resultat!J44),Resultat!$AA$3+Resultat!$AA$4,IF(((H44-J44)&gt;0)*((Resultat!H44-Resultat!J44)&gt;0),Resultat!$AA$3,IF(((H44-J44)&lt;0)*((Resultat!H44-Resultat!J44)&lt;0),Resultat!$AA$3,IF(((H44-J44)=0)*((Resultat!H44-Resultat!J44)=0),Resultat!$AA$3,0)))))</f>
        <v/>
      </c>
      <c r="L44" s="69" t="str">
        <f t="shared" si="0"/>
        <v>x</v>
      </c>
    </row>
    <row r="45" spans="1:12" x14ac:dyDescent="0.15">
      <c r="A45" s="42">
        <v>33</v>
      </c>
      <c r="B45" s="43">
        <v>42543</v>
      </c>
      <c r="C45" s="44" t="s">
        <v>41</v>
      </c>
      <c r="D45" s="42" t="s">
        <v>52</v>
      </c>
      <c r="E45" s="45" t="s">
        <v>72</v>
      </c>
      <c r="F45" s="46" t="s">
        <v>39</v>
      </c>
      <c r="G45" s="47" t="s">
        <v>54</v>
      </c>
      <c r="H45" s="48"/>
      <c r="I45" s="46" t="s">
        <v>39</v>
      </c>
      <c r="J45" s="49"/>
      <c r="K45" s="57" t="str">
        <f>IF(OR(Resultat!H45="",H45="",Resultat!J45="",J45=""),"",IF((H45=Resultat!H45)*(J45=Resultat!J45),Resultat!$AA$3+Resultat!$AA$4,IF(((H45-J45)&gt;0)*((Resultat!H45-Resultat!J45)&gt;0),Resultat!$AA$3,IF(((H45-J45)&lt;0)*((Resultat!H45-Resultat!J45)&lt;0),Resultat!$AA$3,IF(((H45-J45)=0)*((Resultat!H45-Resultat!J45)=0),Resultat!$AA$3,0)))))</f>
        <v/>
      </c>
      <c r="L45" s="69" t="str">
        <f t="shared" si="0"/>
        <v>x</v>
      </c>
    </row>
    <row r="46" spans="1:12" x14ac:dyDescent="0.15">
      <c r="A46" s="42">
        <v>34</v>
      </c>
      <c r="B46" s="43">
        <v>42543</v>
      </c>
      <c r="C46" s="44" t="s">
        <v>41</v>
      </c>
      <c r="D46" s="42" t="s">
        <v>52</v>
      </c>
      <c r="E46" s="45" t="s">
        <v>73</v>
      </c>
      <c r="F46" s="46" t="s">
        <v>39</v>
      </c>
      <c r="G46" s="47" t="s">
        <v>71</v>
      </c>
      <c r="H46" s="48"/>
      <c r="I46" s="46" t="s">
        <v>39</v>
      </c>
      <c r="J46" s="49"/>
      <c r="K46" s="57" t="str">
        <f>IF(OR(Resultat!H46="",H46="",Resultat!J46="",J46=""),"",IF((H46=Resultat!H46)*(J46=Resultat!J46),Resultat!$AA$3+Resultat!$AA$4,IF(((H46-J46)&gt;0)*((Resultat!H46-Resultat!J46)&gt;0),Resultat!$AA$3,IF(((H46-J46)&lt;0)*((Resultat!H46-Resultat!J46)&lt;0),Resultat!$AA$3,IF(((H46-J46)=0)*((Resultat!H46-Resultat!J46)=0),Resultat!$AA$3,0)))))</f>
        <v/>
      </c>
      <c r="L46" s="69" t="str">
        <f t="shared" si="0"/>
        <v>x</v>
      </c>
    </row>
    <row r="47" spans="1:12" x14ac:dyDescent="0.15">
      <c r="A47" s="42">
        <v>35</v>
      </c>
      <c r="B47" s="43">
        <v>42543</v>
      </c>
      <c r="C47" s="44" t="s">
        <v>42</v>
      </c>
      <c r="D47" s="42" t="s">
        <v>49</v>
      </c>
      <c r="E47" s="45" t="s">
        <v>70</v>
      </c>
      <c r="F47" s="46" t="s">
        <v>39</v>
      </c>
      <c r="G47" s="47" t="s">
        <v>55</v>
      </c>
      <c r="H47" s="48"/>
      <c r="I47" s="46" t="s">
        <v>39</v>
      </c>
      <c r="J47" s="49"/>
      <c r="K47" s="57" t="str">
        <f>IF(OR(Resultat!H47="",H47="",Resultat!J47="",J47=""),"",IF((H47=Resultat!H47)*(J47=Resultat!J47),Resultat!$AA$3+Resultat!$AA$4,IF(((H47-J47)&gt;0)*((Resultat!H47-Resultat!J47)&gt;0),Resultat!$AA$3,IF(((H47-J47)&lt;0)*((Resultat!H47-Resultat!J47)&lt;0),Resultat!$AA$3,IF(((H47-J47)=0)*((Resultat!H47-Resultat!J47)=0),Resultat!$AA$3,0)))))</f>
        <v/>
      </c>
      <c r="L47" s="69" t="str">
        <f t="shared" si="0"/>
        <v>x</v>
      </c>
    </row>
    <row r="48" spans="1:12" ht="14" thickBot="1" x14ac:dyDescent="0.2">
      <c r="A48" s="77">
        <v>36</v>
      </c>
      <c r="B48" s="78">
        <v>42543</v>
      </c>
      <c r="C48" s="79" t="s">
        <v>42</v>
      </c>
      <c r="D48" s="77" t="s">
        <v>49</v>
      </c>
      <c r="E48" s="80" t="s">
        <v>48</v>
      </c>
      <c r="F48" s="81" t="s">
        <v>39</v>
      </c>
      <c r="G48" s="82" t="s">
        <v>69</v>
      </c>
      <c r="H48" s="83"/>
      <c r="I48" s="81" t="s">
        <v>39</v>
      </c>
      <c r="J48" s="84"/>
      <c r="K48" s="85" t="str">
        <f>IF(OR(Resultat!H48="",H48="",Resultat!J48="",J48=""),"",IF((H48=Resultat!H48)*(J48=Resultat!J48),Resultat!$AA$3+Resultat!$AA$4,IF(((H48-J48)&gt;0)*((Resultat!H48-Resultat!J48)&gt;0),Resultat!$AA$3,IF(((H48-J48)&lt;0)*((Resultat!H48-Resultat!J48)&lt;0),Resultat!$AA$3,IF(((H48-J48)=0)*((Resultat!H48-Resultat!J48)=0),Resultat!$AA$3,0)))))</f>
        <v/>
      </c>
      <c r="L48" s="69" t="str">
        <f t="shared" si="0"/>
        <v>x</v>
      </c>
    </row>
    <row r="49" spans="1:12" x14ac:dyDescent="0.15">
      <c r="A49" s="42">
        <v>37</v>
      </c>
      <c r="B49" s="43">
        <v>42546</v>
      </c>
      <c r="C49" s="44" t="s">
        <v>41</v>
      </c>
      <c r="D49" s="70">
        <v>0.125</v>
      </c>
      <c r="E49" s="45"/>
      <c r="F49" s="46" t="s">
        <v>39</v>
      </c>
      <c r="G49" s="47"/>
      <c r="H49" s="48"/>
      <c r="I49" s="46" t="s">
        <v>39</v>
      </c>
      <c r="J49" s="49"/>
      <c r="K49" s="57" t="str">
        <f>IF(OR(Resultat!H49="",H49="",Resultat!J49="",J49=""),"",IF((H49=Resultat!H49)*(J49=Resultat!J49),Resultat!$M$4+Resultat!$AA$4,IF(((H49-J49)&gt;0)*((Resultat!H49-Resultat!J49)&gt;0),Resultat!$M$4,IF(((H49-J49)&lt;0)*((Resultat!H49-Resultat!J49)&lt;0),Resultat!$M$4,IF(((H49-J49)=0)*((Resultat!H49-Resultat!J49)=0),Resultat!$M$4,0)))))</f>
        <v/>
      </c>
      <c r="L49" s="69" t="str">
        <f t="shared" si="0"/>
        <v>x</v>
      </c>
    </row>
    <row r="50" spans="1:12" x14ac:dyDescent="0.15">
      <c r="A50" s="42">
        <v>38</v>
      </c>
      <c r="B50" s="43">
        <v>42546</v>
      </c>
      <c r="C50" s="44" t="s">
        <v>37</v>
      </c>
      <c r="D50" s="70">
        <v>0.125</v>
      </c>
      <c r="E50" s="45"/>
      <c r="F50" s="46" t="s">
        <v>39</v>
      </c>
      <c r="G50" s="47"/>
      <c r="H50" s="48"/>
      <c r="I50" s="46" t="s">
        <v>39</v>
      </c>
      <c r="J50" s="49"/>
      <c r="K50" s="57" t="str">
        <f>IF(OR(Resultat!H50="",H50="",Resultat!J50="",J50=""),"",IF((H50=Resultat!H50)*(J50=Resultat!J50),Resultat!$M$4+Resultat!$AA$4,IF(((H50-J50)&gt;0)*((Resultat!H50-Resultat!J50)&gt;0),Resultat!$M$4,IF(((H50-J50)&lt;0)*((Resultat!H50-Resultat!J50)&lt;0),Resultat!$M$4,IF(((H50-J50)=0)*((Resultat!H50-Resultat!J50)=0),Resultat!$M$4,0)))))</f>
        <v/>
      </c>
      <c r="L50" s="69" t="str">
        <f t="shared" si="0"/>
        <v>x</v>
      </c>
    </row>
    <row r="51" spans="1:12" x14ac:dyDescent="0.15">
      <c r="A51" s="42">
        <v>39</v>
      </c>
      <c r="B51" s="43">
        <v>42546</v>
      </c>
      <c r="C51" s="44" t="s">
        <v>41</v>
      </c>
      <c r="D51" s="70">
        <v>0.125</v>
      </c>
      <c r="E51" s="45"/>
      <c r="F51" s="46" t="s">
        <v>39</v>
      </c>
      <c r="G51" s="47"/>
      <c r="H51" s="48"/>
      <c r="I51" s="46" t="s">
        <v>39</v>
      </c>
      <c r="J51" s="49"/>
      <c r="K51" s="57" t="str">
        <f>IF(OR(Resultat!H51="",H51="",Resultat!J51="",J51=""),"",IF((H51=Resultat!H51)*(J51=Resultat!J51),Resultat!$M$4+Resultat!$AA$4,IF(((H51-J51)&gt;0)*((Resultat!H51-Resultat!J51)&gt;0),Resultat!$M$4,IF(((H51-J51)&lt;0)*((Resultat!H51-Resultat!J51)&lt;0),Resultat!$M$4,IF(((H51-J51)=0)*((Resultat!H51-Resultat!J51)=0),Resultat!$M$4,0)))))</f>
        <v/>
      </c>
      <c r="L51" s="69" t="str">
        <f t="shared" si="0"/>
        <v>x</v>
      </c>
    </row>
    <row r="52" spans="1:12" x14ac:dyDescent="0.15">
      <c r="A52" s="42">
        <v>40</v>
      </c>
      <c r="B52" s="43">
        <v>42547</v>
      </c>
      <c r="C52" s="44" t="s">
        <v>37</v>
      </c>
      <c r="D52" s="70">
        <v>0.125</v>
      </c>
      <c r="E52" s="45"/>
      <c r="F52" s="46" t="s">
        <v>39</v>
      </c>
      <c r="G52" s="47"/>
      <c r="H52" s="48"/>
      <c r="I52" s="46" t="s">
        <v>39</v>
      </c>
      <c r="J52" s="49"/>
      <c r="K52" s="57" t="str">
        <f>IF(OR(Resultat!H52="",H52="",Resultat!J52="",J52=""),"",IF((H52=Resultat!H52)*(J52=Resultat!J52),Resultat!$M$4+Resultat!$AA$4,IF(((H52-J52)&gt;0)*((Resultat!H52-Resultat!J52)&gt;0),Resultat!$M$4,IF(((H52-J52)&lt;0)*((Resultat!H52-Resultat!J52)&lt;0),Resultat!$M$4,IF(((H52-J52)=0)*((Resultat!H52-Resultat!J52)=0),Resultat!$M$4,0)))))</f>
        <v/>
      </c>
      <c r="L52" s="69" t="str">
        <f t="shared" si="0"/>
        <v>x</v>
      </c>
    </row>
    <row r="53" spans="1:12" x14ac:dyDescent="0.15">
      <c r="A53" s="42">
        <v>41</v>
      </c>
      <c r="B53" s="43">
        <v>42547</v>
      </c>
      <c r="C53" s="44" t="s">
        <v>41</v>
      </c>
      <c r="D53" s="70">
        <v>0.125</v>
      </c>
      <c r="E53" s="45"/>
      <c r="F53" s="46" t="s">
        <v>39</v>
      </c>
      <c r="G53" s="47"/>
      <c r="H53" s="48"/>
      <c r="I53" s="46" t="s">
        <v>39</v>
      </c>
      <c r="J53" s="49"/>
      <c r="K53" s="57" t="str">
        <f>IF(OR(Resultat!H53="",H53="",Resultat!J53="",J53=""),"",IF((H53=Resultat!H53)*(J53=Resultat!J53),Resultat!$M$4+Resultat!$AA$4,IF(((H53-J53)&gt;0)*((Resultat!H53-Resultat!J53)&gt;0),Resultat!$M$4,IF(((H53-J53)&lt;0)*((Resultat!H53-Resultat!J53)&lt;0),Resultat!$M$4,IF(((H53-J53)=0)*((Resultat!H53-Resultat!J53)=0),Resultat!$M$4,0)))))</f>
        <v/>
      </c>
      <c r="L53" s="69" t="str">
        <f t="shared" si="0"/>
        <v>x</v>
      </c>
    </row>
    <row r="54" spans="1:12" x14ac:dyDescent="0.15">
      <c r="A54" s="42">
        <v>42</v>
      </c>
      <c r="B54" s="43">
        <v>42547</v>
      </c>
      <c r="C54" s="44" t="s">
        <v>37</v>
      </c>
      <c r="D54" s="70">
        <v>0.125</v>
      </c>
      <c r="E54" s="45"/>
      <c r="F54" s="46" t="s">
        <v>39</v>
      </c>
      <c r="G54" s="47"/>
      <c r="H54" s="48"/>
      <c r="I54" s="46" t="s">
        <v>39</v>
      </c>
      <c r="J54" s="49"/>
      <c r="K54" s="57" t="str">
        <f>IF(OR(Resultat!H54="",H54="",Resultat!J54="",J54=""),"",IF((H54=Resultat!H54)*(J54=Resultat!J54),Resultat!$M$4+Resultat!$AA$4,IF(((H54-J54)&gt;0)*((Resultat!H54-Resultat!J54)&gt;0),Resultat!$M$4,IF(((H54-J54)&lt;0)*((Resultat!H54-Resultat!J54)&lt;0),Resultat!$M$4,IF(((H54-J54)=0)*((Resultat!H54-Resultat!J54)=0),Resultat!$M$4,0)))))</f>
        <v/>
      </c>
      <c r="L54" s="69" t="str">
        <f t="shared" si="0"/>
        <v>x</v>
      </c>
    </row>
    <row r="55" spans="1:12" x14ac:dyDescent="0.15">
      <c r="A55" s="42">
        <v>43</v>
      </c>
      <c r="B55" s="43">
        <v>42548</v>
      </c>
      <c r="C55" s="44" t="s">
        <v>41</v>
      </c>
      <c r="D55" s="70">
        <v>0.125</v>
      </c>
      <c r="E55" s="45"/>
      <c r="F55" s="46" t="s">
        <v>39</v>
      </c>
      <c r="G55" s="47"/>
      <c r="H55" s="48"/>
      <c r="I55" s="46" t="s">
        <v>39</v>
      </c>
      <c r="J55" s="49"/>
      <c r="K55" s="57" t="str">
        <f>IF(OR(Resultat!H55="",H55="",Resultat!J55="",J55=""),"",IF((H55=Resultat!H55)*(J55=Resultat!J55),Resultat!$M$4+Resultat!$AA$4,IF(((H55-J55)&gt;0)*((Resultat!H55-Resultat!J55)&gt;0),Resultat!$M$4,IF(((H55-J55)&lt;0)*((Resultat!H55-Resultat!J55)&lt;0),Resultat!$M$4,IF(((H55-J55)=0)*((Resultat!H55-Resultat!J55)=0),Resultat!$M$4,0)))))</f>
        <v/>
      </c>
      <c r="L55" s="69" t="str">
        <f t="shared" si="0"/>
        <v>x</v>
      </c>
    </row>
    <row r="56" spans="1:12" x14ac:dyDescent="0.15">
      <c r="A56" s="42">
        <v>44</v>
      </c>
      <c r="B56" s="43">
        <v>42548</v>
      </c>
      <c r="C56" s="44" t="s">
        <v>37</v>
      </c>
      <c r="D56" s="70">
        <v>0.125</v>
      </c>
      <c r="E56" s="45"/>
      <c r="F56" s="46" t="s">
        <v>39</v>
      </c>
      <c r="G56" s="47"/>
      <c r="H56" s="48"/>
      <c r="I56" s="46" t="s">
        <v>39</v>
      </c>
      <c r="J56" s="49"/>
      <c r="K56" s="57" t="str">
        <f>IF(OR(Resultat!H56="",H56="",Resultat!J56="",J56=""),"",IF((H56=Resultat!H56)*(J56=Resultat!J56),Resultat!$M$4+Resultat!$AA$4,IF(((H56-J56)&gt;0)*((Resultat!H56-Resultat!J56)&gt;0),Resultat!$M$4,IF(((H56-J56)&lt;0)*((Resultat!H56-Resultat!J56)&lt;0),Resultat!$M$4,IF(((H56-J56)=0)*((Resultat!H56-Resultat!J56)=0),Resultat!$M$4,0)))))</f>
        <v/>
      </c>
      <c r="L56" s="69" t="str">
        <f t="shared" si="0"/>
        <v>x</v>
      </c>
    </row>
    <row r="57" spans="1:12" x14ac:dyDescent="0.15">
      <c r="A57" s="42">
        <v>45</v>
      </c>
      <c r="B57" s="43">
        <v>42551</v>
      </c>
      <c r="C57" s="44" t="s">
        <v>37</v>
      </c>
      <c r="D57" s="70">
        <v>0.25</v>
      </c>
      <c r="E57" s="45" t="str">
        <f>IF(J49="","",IF(H49&gt;J49,E49,G49))</f>
        <v/>
      </c>
      <c r="F57" s="46" t="s">
        <v>39</v>
      </c>
      <c r="G57" s="47" t="str">
        <f>IF(J51="","",IF(H51&gt;J51,E51,G51))</f>
        <v/>
      </c>
      <c r="H57" s="48"/>
      <c r="I57" s="46" t="s">
        <v>39</v>
      </c>
      <c r="J57" s="49"/>
      <c r="K57" s="57" t="str">
        <f>IF(OR(Resultat!H57="",H57="",Resultat!J57="",J57=""),"",IF((H57=Resultat!H57)*(J57=Resultat!J57),Resultat!$M$5+Resultat!$AA$4,IF(((H57-J57)&gt;0)*((Resultat!H57-Resultat!J57)&gt;0),Resultat!$M$5,IF(((H57-J57)&lt;0)*((Resultat!H57-Resultat!J57)&lt;0),Resultat!$M$5,IF(((H57-J57)=0)*((Resultat!H57-Resultat!J57)=0),Resultat!$M$5,0)))))</f>
        <v/>
      </c>
      <c r="L57" s="69" t="str">
        <f t="shared" si="0"/>
        <v>x</v>
      </c>
    </row>
    <row r="58" spans="1:12" x14ac:dyDescent="0.15">
      <c r="A58" s="42">
        <v>46</v>
      </c>
      <c r="B58" s="43">
        <v>42552</v>
      </c>
      <c r="C58" s="44" t="s">
        <v>41</v>
      </c>
      <c r="D58" s="70">
        <v>0.25</v>
      </c>
      <c r="E58" s="45" t="str">
        <f>IF(J50="","",IF(H50&gt;J50,E50,G50))</f>
        <v/>
      </c>
      <c r="F58" s="46" t="s">
        <v>39</v>
      </c>
      <c r="G58" s="47" t="str">
        <f>IF(J54="","",IF(H54&gt;J54,E54,G54))</f>
        <v/>
      </c>
      <c r="H58" s="48"/>
      <c r="I58" s="46" t="s">
        <v>39</v>
      </c>
      <c r="J58" s="49"/>
      <c r="K58" s="57" t="str">
        <f>IF(OR(Resultat!H58="",H58="",Resultat!J58="",J58=""),"",IF((H58=Resultat!H58)*(J58=Resultat!J58),Resultat!$M$5+Resultat!$AA$4,IF(((H58-J58)&gt;0)*((Resultat!H58-Resultat!J58)&gt;0),Resultat!$M$5,IF(((H58-J58)&lt;0)*((Resultat!H58-Resultat!J58)&lt;0),Resultat!$M$5,IF(((H58-J58)=0)*((Resultat!H58-Resultat!J58)=0),Resultat!$M$5,0)))))</f>
        <v/>
      </c>
      <c r="L58" s="69" t="str">
        <f t="shared" si="0"/>
        <v>x</v>
      </c>
    </row>
    <row r="59" spans="1:12" x14ac:dyDescent="0.15">
      <c r="A59" s="42">
        <v>47</v>
      </c>
      <c r="B59" s="43">
        <v>42553</v>
      </c>
      <c r="C59" s="44" t="s">
        <v>37</v>
      </c>
      <c r="D59" s="70">
        <v>0.25</v>
      </c>
      <c r="E59" s="45" t="str">
        <f>IF(J53="","",IF(H53&gt;J53,E53,G53))</f>
        <v/>
      </c>
      <c r="F59" s="46" t="s">
        <v>39</v>
      </c>
      <c r="G59" s="47" t="str">
        <f>IF(J55="","",IF(H55&gt;J55,E55,G55))</f>
        <v/>
      </c>
      <c r="H59" s="48"/>
      <c r="I59" s="46" t="s">
        <v>39</v>
      </c>
      <c r="J59" s="49"/>
      <c r="K59" s="57" t="str">
        <f>IF(OR(Resultat!H59="",H59="",Resultat!J59="",J59=""),"",IF((H59=Resultat!H59)*(J59=Resultat!J59),Resultat!$M$5+Resultat!$AA$4,IF(((H59-J59)&gt;0)*((Resultat!H59-Resultat!J59)&gt;0),Resultat!$M$5,IF(((H59-J59)&lt;0)*((Resultat!H59-Resultat!J59)&lt;0),Resultat!$M$5,IF(((H59-J59)=0)*((Resultat!H59-Resultat!J59)=0),Resultat!$M$5,0)))))</f>
        <v/>
      </c>
      <c r="L59" s="69" t="str">
        <f t="shared" si="0"/>
        <v>x</v>
      </c>
    </row>
    <row r="60" spans="1:12" x14ac:dyDescent="0.15">
      <c r="A60" s="42">
        <v>48</v>
      </c>
      <c r="B60" s="43">
        <v>42554</v>
      </c>
      <c r="C60" s="44" t="s">
        <v>41</v>
      </c>
      <c r="D60" s="70">
        <v>0.25</v>
      </c>
      <c r="E60" s="45" t="str">
        <f>IF(J52="","",IF(H52&gt;J52,E52,G52))</f>
        <v/>
      </c>
      <c r="F60" s="46" t="s">
        <v>39</v>
      </c>
      <c r="G60" s="47" t="str">
        <f>IF(J56="","",IF(H56&gt;J56,E56,G56))</f>
        <v/>
      </c>
      <c r="H60" s="48"/>
      <c r="I60" s="46" t="s">
        <v>39</v>
      </c>
      <c r="J60" s="49"/>
      <c r="K60" s="57" t="str">
        <f>IF(OR(Resultat!H60="",H60="",Resultat!J60="",J60=""),"",IF((H60=Resultat!H60)*(J60=Resultat!J60),Resultat!$M$5+Resultat!$AA$4,IF(((H60-J60)&gt;0)*((Resultat!H60-Resultat!J60)&gt;0),Resultat!$M$5,IF(((H60-J60)&lt;0)*((Resultat!H60-Resultat!J60)&lt;0),Resultat!$M$5,IF(((H60-J60)=0)*((Resultat!H60-Resultat!J60)=0),Resultat!$M$5,0)))))</f>
        <v/>
      </c>
      <c r="L60" s="69" t="str">
        <f t="shared" si="0"/>
        <v>x</v>
      </c>
    </row>
    <row r="61" spans="1:12" x14ac:dyDescent="0.15">
      <c r="A61" s="42">
        <v>49</v>
      </c>
      <c r="B61" s="43">
        <v>42557</v>
      </c>
      <c r="C61" s="44" t="s">
        <v>37</v>
      </c>
      <c r="D61" s="70" t="s">
        <v>57</v>
      </c>
      <c r="E61" s="45" t="str">
        <f>IF(J57="","",IF(H57&gt;J57,E57,G57))</f>
        <v/>
      </c>
      <c r="F61" s="46" t="s">
        <v>39</v>
      </c>
      <c r="G61" s="47" t="str">
        <f>IF(J58="","",IF(H58&gt;J58,E58,G58))</f>
        <v/>
      </c>
      <c r="H61" s="48"/>
      <c r="I61" s="46" t="s">
        <v>39</v>
      </c>
      <c r="J61" s="49"/>
      <c r="K61" s="57" t="str">
        <f>IF(OR(Resultat!H61="",H61="",Resultat!J61="",J61=""),"",IF((H61=Resultat!H61)*(J61=Resultat!J61),Resultat!$M$6+Resultat!$AA$4,IF(((H61-J61)&gt;0)*((Resultat!H61-Resultat!J61)&gt;0),Resultat!$M$6,IF(((H61-J61)&lt;0)*((Resultat!H61-Resultat!J61)&lt;0),Resultat!$M$6,IF(((H61-J61)=0)*((Resultat!H61-Resultat!J61)=0),Resultat!$M$6,0)))))</f>
        <v/>
      </c>
      <c r="L61" s="69" t="str">
        <f t="shared" si="0"/>
        <v>x</v>
      </c>
    </row>
    <row r="62" spans="1:12" x14ac:dyDescent="0.15">
      <c r="A62" s="42">
        <v>50</v>
      </c>
      <c r="B62" s="43">
        <v>42558</v>
      </c>
      <c r="C62" s="44" t="s">
        <v>37</v>
      </c>
      <c r="D62" s="70" t="s">
        <v>58</v>
      </c>
      <c r="E62" s="45" t="str">
        <f>IF(J59="","",IF(H59&gt;J59,E59,G59))</f>
        <v/>
      </c>
      <c r="F62" s="46" t="s">
        <v>39</v>
      </c>
      <c r="G62" s="47" t="str">
        <f>IF(J60="","",IF(H60&gt;J60,E60,G60))</f>
        <v/>
      </c>
      <c r="H62" s="48"/>
      <c r="I62" s="46" t="s">
        <v>39</v>
      </c>
      <c r="J62" s="49"/>
      <c r="K62" s="57" t="str">
        <f>IF(OR(Resultat!H62="",H62="",Resultat!J62="",J62=""),"",IF((H62=Resultat!H62)*(J62=Resultat!J62),Resultat!$M$6+Resultat!$AA$4,IF(((H62-J62)&gt;0)*((Resultat!H62-Resultat!J62)&gt;0),Resultat!$M$6,IF(((H62-J62)&lt;0)*((Resultat!H62-Resultat!J62)&lt;0),Resultat!$M$6,IF(((H62-J62)=0)*((Resultat!H62-Resultat!J62)=0),Resultat!$M$6,0)))))</f>
        <v/>
      </c>
      <c r="L62" s="69" t="str">
        <f t="shared" si="0"/>
        <v>x</v>
      </c>
    </row>
    <row r="63" spans="1:12" x14ac:dyDescent="0.15">
      <c r="A63" s="42">
        <v>51</v>
      </c>
      <c r="B63" s="43">
        <v>42561</v>
      </c>
      <c r="C63" s="44" t="s">
        <v>42</v>
      </c>
      <c r="D63" s="70" t="s">
        <v>23</v>
      </c>
      <c r="E63" s="45" t="str">
        <f>IF(J61="","",IF(H61&gt;J61,E61,G61))</f>
        <v/>
      </c>
      <c r="F63" s="46" t="s">
        <v>39</v>
      </c>
      <c r="G63" s="47" t="str">
        <f>IF(J62="","",IF(H62&gt;J62,E62,G62))</f>
        <v/>
      </c>
      <c r="H63" s="48"/>
      <c r="I63" s="46" t="s">
        <v>39</v>
      </c>
      <c r="J63" s="49"/>
      <c r="K63" s="57" t="str">
        <f>IF(OR(Resultat!H63="",H63="",Resultat!J63="",J63=""),"",IF((H63=Resultat!H63)*(J63=Resultat!J63),Resultat!$AA$3+Resultat!$AA$4,IF(((H63-J63)&gt;0)*((Resultat!H63-Resultat!J63)&gt;0),Resultat!$AA$3,IF(((H63-J63)&lt;0)*((Resultat!H63-Resultat!J63)&lt;0),Resultat!$AA$3,IF(((H63-J63)=0)*((Resultat!H63-Resultat!J63)=0),Resultat!$AA$3,0)))))</f>
        <v/>
      </c>
      <c r="L63" s="69" t="str">
        <f t="shared" si="0"/>
        <v>x</v>
      </c>
    </row>
    <row r="75" spans="1:1" x14ac:dyDescent="0.15">
      <c r="A75" s="51"/>
    </row>
    <row r="76" spans="1:1" x14ac:dyDescent="0.15">
      <c r="A76" s="51"/>
    </row>
    <row r="77" spans="1:1" x14ac:dyDescent="0.15">
      <c r="A77" s="51"/>
    </row>
  </sheetData>
  <sheetProtection formatCells="0" formatColumns="0" formatRows="0" insertColumns="0" insertRows="0" insertHyperlinks="0" deleteColumns="0" deleteRows="0" sort="0" autoFilter="0" pivotTables="0"/>
  <mergeCells count="3">
    <mergeCell ref="H1:J1"/>
    <mergeCell ref="E12:G12"/>
    <mergeCell ref="H12:J12"/>
  </mergeCells>
  <conditionalFormatting sqref="A14:B14 B15:B16 D14:G14 I14 K33:K63">
    <cfRule type="expression" dxfId="39" priority="36">
      <formula>$H14&lt;&gt;""</formula>
    </cfRule>
  </conditionalFormatting>
  <conditionalFormatting sqref="A15 D15:G15 I15">
    <cfRule type="expression" dxfId="38" priority="35">
      <formula>$H15&lt;&gt;""</formula>
    </cfRule>
  </conditionalFormatting>
  <conditionalFormatting sqref="A16 D16:G16 I16">
    <cfRule type="expression" dxfId="37" priority="34">
      <formula>$H16&lt;&gt;""</formula>
    </cfRule>
  </conditionalFormatting>
  <conditionalFormatting sqref="A17:G17 B18:B48 C18 I17">
    <cfRule type="expression" dxfId="36" priority="33">
      <formula>$H17&lt;&gt;""</formula>
    </cfRule>
  </conditionalFormatting>
  <conditionalFormatting sqref="A18 D18:G18 I18">
    <cfRule type="expression" dxfId="35" priority="32">
      <formula>$H18&lt;&gt;""</formula>
    </cfRule>
  </conditionalFormatting>
  <conditionalFormatting sqref="A19 C19:G19 C20:C22 I19">
    <cfRule type="expression" dxfId="34" priority="31">
      <formula>$H19&lt;&gt;""</formula>
    </cfRule>
  </conditionalFormatting>
  <conditionalFormatting sqref="A20 D20:G20 I20">
    <cfRule type="expression" dxfId="33" priority="30">
      <formula>$H20&lt;&gt;""</formula>
    </cfRule>
  </conditionalFormatting>
  <conditionalFormatting sqref="A21 D21:G21 I21">
    <cfRule type="expression" dxfId="32" priority="29">
      <formula>$H21&lt;&gt;""</formula>
    </cfRule>
  </conditionalFormatting>
  <conditionalFormatting sqref="A22 D22:G22 I22">
    <cfRule type="expression" dxfId="31" priority="28">
      <formula>$H22&lt;&gt;""</formula>
    </cfRule>
  </conditionalFormatting>
  <conditionalFormatting sqref="A23 C23:G23 I23">
    <cfRule type="expression" dxfId="30" priority="27">
      <formula>$H23&lt;&gt;""</formula>
    </cfRule>
  </conditionalFormatting>
  <conditionalFormatting sqref="A24 C24:G24 I24">
    <cfRule type="expression" dxfId="29" priority="26">
      <formula>$H24&lt;&gt;""</formula>
    </cfRule>
  </conditionalFormatting>
  <conditionalFormatting sqref="A25 C25:G25 I25">
    <cfRule type="expression" dxfId="28" priority="25">
      <formula>$H25&lt;&gt;""</formula>
    </cfRule>
  </conditionalFormatting>
  <conditionalFormatting sqref="A26 C26:G26 I26">
    <cfRule type="expression" dxfId="27" priority="24">
      <formula>$H26&lt;&gt;""</formula>
    </cfRule>
  </conditionalFormatting>
  <conditionalFormatting sqref="A27 C27:G27 I27">
    <cfRule type="expression" dxfId="26" priority="23">
      <formula>$H27&lt;&gt;""</formula>
    </cfRule>
  </conditionalFormatting>
  <conditionalFormatting sqref="A28 C28:G28 I28">
    <cfRule type="expression" dxfId="25" priority="22">
      <formula>$H28&lt;&gt;""</formula>
    </cfRule>
  </conditionalFormatting>
  <conditionalFormatting sqref="A29 C29:G29 I29">
    <cfRule type="expression" dxfId="24" priority="21">
      <formula>$H29&lt;&gt;""</formula>
    </cfRule>
  </conditionalFormatting>
  <conditionalFormatting sqref="A30 C30:G30 I30">
    <cfRule type="expression" dxfId="23" priority="20">
      <formula>$H30&lt;&gt;""</formula>
    </cfRule>
  </conditionalFormatting>
  <conditionalFormatting sqref="A31 C31:G31 I31">
    <cfRule type="expression" dxfId="22" priority="19">
      <formula>$H31&lt;&gt;""</formula>
    </cfRule>
  </conditionalFormatting>
  <conditionalFormatting sqref="A32 C32:G32 I32">
    <cfRule type="expression" dxfId="21" priority="18">
      <formula>$H32&lt;&gt;""</formula>
    </cfRule>
  </conditionalFormatting>
  <conditionalFormatting sqref="A33 C33:G33 I33">
    <cfRule type="expression" dxfId="20" priority="17">
      <formula>$H33&lt;&gt;""</formula>
    </cfRule>
  </conditionalFormatting>
  <conditionalFormatting sqref="A34 C34:G34 I34">
    <cfRule type="expression" dxfId="19" priority="16">
      <formula>$H34&lt;&gt;""</formula>
    </cfRule>
  </conditionalFormatting>
  <conditionalFormatting sqref="A35 C35:G35 I35">
    <cfRule type="expression" dxfId="18" priority="15">
      <formula>$H35&lt;&gt;""</formula>
    </cfRule>
  </conditionalFormatting>
  <conditionalFormatting sqref="A36 C36:G36 I36">
    <cfRule type="expression" dxfId="17" priority="14">
      <formula>$H36&lt;&gt;""</formula>
    </cfRule>
  </conditionalFormatting>
  <conditionalFormatting sqref="A37 C37:G37 I37">
    <cfRule type="expression" dxfId="16" priority="13">
      <formula>$H37&lt;&gt;""</formula>
    </cfRule>
  </conditionalFormatting>
  <conditionalFormatting sqref="A38 C38:G38 I38">
    <cfRule type="expression" dxfId="15" priority="12">
      <formula>$H38&lt;&gt;""</formula>
    </cfRule>
  </conditionalFormatting>
  <conditionalFormatting sqref="A39 C39:G39 I39">
    <cfRule type="expression" dxfId="14" priority="11">
      <formula>$H39&lt;&gt;""</formula>
    </cfRule>
  </conditionalFormatting>
  <conditionalFormatting sqref="A40 C40:G40 I40">
    <cfRule type="expression" dxfId="13" priority="10">
      <formula>$H40&lt;&gt;""</formula>
    </cfRule>
  </conditionalFormatting>
  <conditionalFormatting sqref="A41 C41:G41 I41">
    <cfRule type="expression" dxfId="12" priority="9">
      <formula>$H41&lt;&gt;""</formula>
    </cfRule>
  </conditionalFormatting>
  <conditionalFormatting sqref="A42 C42:G42 I42">
    <cfRule type="expression" dxfId="11" priority="8">
      <formula>$H42&lt;&gt;""</formula>
    </cfRule>
  </conditionalFormatting>
  <conditionalFormatting sqref="A43 C43:G43 I43">
    <cfRule type="expression" dxfId="10" priority="7">
      <formula>$H43&lt;&gt;""</formula>
    </cfRule>
  </conditionalFormatting>
  <conditionalFormatting sqref="A44 C44:G44 I44">
    <cfRule type="expression" dxfId="9" priority="6">
      <formula>$H44&lt;&gt;""</formula>
    </cfRule>
  </conditionalFormatting>
  <conditionalFormatting sqref="A45 C45:G45 I45">
    <cfRule type="expression" dxfId="8" priority="5">
      <formula>$H45&lt;&gt;""</formula>
    </cfRule>
  </conditionalFormatting>
  <conditionalFormatting sqref="A46 C46:G46 I46">
    <cfRule type="expression" dxfId="7" priority="4">
      <formula>$H46&lt;&gt;""</formula>
    </cfRule>
  </conditionalFormatting>
  <conditionalFormatting sqref="A47 C47:G47 I47">
    <cfRule type="expression" dxfId="6" priority="3">
      <formula>$H47&lt;&gt;""</formula>
    </cfRule>
  </conditionalFormatting>
  <conditionalFormatting sqref="A48 C48:G48 I48">
    <cfRule type="expression" dxfId="5" priority="2">
      <formula>$H48&lt;&gt;""</formula>
    </cfRule>
  </conditionalFormatting>
  <conditionalFormatting sqref="A13:J13 C14:C16 K13:K32 J14:J48 H14:H48">
    <cfRule type="expression" dxfId="4" priority="1">
      <formula>$H13&lt;&gt;""</formula>
    </cfRule>
  </conditionalFormatting>
  <pageMargins left="0.7" right="0.7" top="0.75" bottom="0.75" header="0.3" footer="0.3"/>
  <pageSetup paperSize="9" orientation="landscape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 enableFormatConditionsCalculation="0">
    <pageSetUpPr autoPageBreaks="0"/>
  </sheetPr>
  <dimension ref="A1:Y77"/>
  <sheetViews>
    <sheetView workbookViewId="0">
      <pane ySplit="12" topLeftCell="A13" activePane="bottomLeft" state="frozen"/>
      <selection pane="bottomLeft" activeCell="P22" sqref="P22"/>
    </sheetView>
  </sheetViews>
  <sheetFormatPr baseColWidth="10" defaultColWidth="8.83203125" defaultRowHeight="13" x14ac:dyDescent="0.15"/>
  <cols>
    <col min="1" max="1" width="8.5" style="34" customWidth="1"/>
    <col min="2" max="2" width="11.83203125" style="34" customWidth="1"/>
    <col min="3" max="3" width="8.83203125" style="34"/>
    <col min="4" max="4" width="8.83203125" style="34" customWidth="1"/>
    <col min="5" max="5" width="14.83203125" style="34" bestFit="1" customWidth="1"/>
    <col min="6" max="6" width="1.5" style="34" bestFit="1" customWidth="1"/>
    <col min="7" max="7" width="14.83203125" style="34" bestFit="1" customWidth="1"/>
    <col min="8" max="8" width="5.1640625" style="34" customWidth="1"/>
    <col min="9" max="9" width="1.5" style="34" customWidth="1"/>
    <col min="10" max="10" width="5.1640625" style="34" customWidth="1"/>
    <col min="11" max="11" width="6.1640625" style="34" customWidth="1"/>
    <col min="12" max="12" width="12.33203125" style="34" customWidth="1"/>
    <col min="13" max="13" width="8.83203125" style="34" customWidth="1"/>
    <col min="14" max="14" width="10.83203125" style="34" customWidth="1"/>
    <col min="15" max="15" width="13.33203125" style="34" customWidth="1"/>
    <col min="16" max="16384" width="8.83203125" style="34"/>
  </cols>
  <sheetData>
    <row r="1" spans="1:25" ht="20" x14ac:dyDescent="0.2">
      <c r="A1" s="1" t="s">
        <v>89</v>
      </c>
      <c r="B1" s="2"/>
      <c r="C1" s="2"/>
      <c r="D1" s="2"/>
      <c r="E1" s="3"/>
      <c r="F1" s="3"/>
      <c r="G1" s="3"/>
      <c r="H1" s="99" t="s">
        <v>95</v>
      </c>
      <c r="I1" s="99"/>
      <c r="J1" s="99"/>
      <c r="K1" s="67">
        <f>SUM(K13:K63)+SUM(P16:P19)</f>
        <v>0</v>
      </c>
      <c r="L1" s="3"/>
      <c r="M1" s="3"/>
      <c r="N1" s="31" t="s">
        <v>0</v>
      </c>
      <c r="O1" s="32"/>
      <c r="P1" s="32"/>
      <c r="Q1" s="32"/>
      <c r="R1" s="32"/>
      <c r="S1" s="32" t="s">
        <v>1</v>
      </c>
      <c r="T1" s="32"/>
      <c r="U1" s="32" t="s">
        <v>1</v>
      </c>
      <c r="V1" s="32"/>
      <c r="W1" s="32"/>
      <c r="X1" s="32"/>
      <c r="Y1" s="33"/>
    </row>
    <row r="2" spans="1:25" ht="12.75" customHeight="1" x14ac:dyDescent="0.15">
      <c r="A2" s="5" t="s">
        <v>2</v>
      </c>
      <c r="B2" s="6"/>
      <c r="C2" s="6"/>
      <c r="D2" s="6"/>
      <c r="E2" s="7"/>
      <c r="F2" s="7"/>
      <c r="G2" s="7"/>
      <c r="H2" s="8"/>
      <c r="I2" s="8"/>
      <c r="J2" s="8"/>
      <c r="K2" s="8"/>
      <c r="L2" s="7"/>
      <c r="M2" s="7"/>
      <c r="N2" s="35" t="s">
        <v>3</v>
      </c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</row>
    <row r="3" spans="1:25" ht="12.75" customHeight="1" x14ac:dyDescent="0.15">
      <c r="A3" s="9" t="s">
        <v>4</v>
      </c>
      <c r="B3" s="10"/>
      <c r="C3" s="10"/>
      <c r="D3" s="10"/>
      <c r="E3" s="10" t="s">
        <v>5</v>
      </c>
      <c r="F3" s="11"/>
      <c r="G3" s="12"/>
      <c r="H3" s="12"/>
      <c r="I3" s="12"/>
      <c r="J3" s="12"/>
      <c r="K3" s="12"/>
      <c r="L3" s="12" t="s">
        <v>6</v>
      </c>
      <c r="M3" s="12"/>
      <c r="N3" s="35" t="s">
        <v>7</v>
      </c>
      <c r="O3" s="36"/>
      <c r="P3" s="36"/>
      <c r="Q3" s="36"/>
      <c r="R3" s="36"/>
      <c r="S3" s="36"/>
      <c r="T3" s="36"/>
      <c r="U3" s="36"/>
      <c r="V3" s="36"/>
      <c r="W3" s="36"/>
      <c r="X3" s="36"/>
      <c r="Y3" s="37"/>
    </row>
    <row r="4" spans="1:25" ht="12.75" customHeight="1" x14ac:dyDescent="0.15">
      <c r="A4" s="13" t="s">
        <v>8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4" t="s">
        <v>9</v>
      </c>
      <c r="M4" s="16">
        <v>4</v>
      </c>
      <c r="N4" s="38"/>
      <c r="O4" s="36"/>
      <c r="P4" s="36"/>
      <c r="Q4" s="36"/>
      <c r="R4" s="36"/>
      <c r="S4" s="36"/>
      <c r="T4" s="36"/>
      <c r="U4" s="36"/>
      <c r="V4" s="36"/>
      <c r="W4" s="36"/>
      <c r="X4" s="36"/>
      <c r="Y4" s="37"/>
    </row>
    <row r="5" spans="1:25" ht="12.75" customHeight="1" x14ac:dyDescent="0.15">
      <c r="A5" s="17" t="s">
        <v>10</v>
      </c>
      <c r="B5" s="18"/>
      <c r="C5" s="18"/>
      <c r="D5" s="18"/>
      <c r="E5" s="18" t="s">
        <v>11</v>
      </c>
      <c r="F5" s="18"/>
      <c r="G5" s="18"/>
      <c r="H5" s="19"/>
      <c r="I5" s="19"/>
      <c r="J5" s="19"/>
      <c r="K5" s="19"/>
      <c r="L5" s="18" t="s">
        <v>12</v>
      </c>
      <c r="M5" s="20">
        <v>6</v>
      </c>
      <c r="N5" s="35" t="s">
        <v>13</v>
      </c>
      <c r="O5" s="36"/>
      <c r="P5" s="36"/>
      <c r="Q5" s="36"/>
      <c r="R5" s="36"/>
      <c r="S5" s="36"/>
      <c r="T5" s="36"/>
      <c r="U5" s="36"/>
      <c r="V5" s="36"/>
      <c r="W5" s="36"/>
      <c r="X5" s="36"/>
      <c r="Y5" s="37"/>
    </row>
    <row r="6" spans="1:25" ht="12.75" customHeight="1" x14ac:dyDescent="0.15">
      <c r="A6" s="17" t="s">
        <v>14</v>
      </c>
      <c r="B6" s="18"/>
      <c r="C6" s="18"/>
      <c r="D6" s="18"/>
      <c r="E6" s="18" t="s">
        <v>15</v>
      </c>
      <c r="F6" s="18"/>
      <c r="G6" s="18"/>
      <c r="H6" s="19"/>
      <c r="I6" s="19"/>
      <c r="J6" s="19"/>
      <c r="K6" s="19"/>
      <c r="L6" s="18" t="s">
        <v>16</v>
      </c>
      <c r="M6" s="20">
        <v>10</v>
      </c>
      <c r="N6" s="38" t="s">
        <v>17</v>
      </c>
      <c r="O6" s="36"/>
      <c r="P6" s="36"/>
      <c r="Q6" s="36"/>
      <c r="R6" s="36"/>
      <c r="S6" s="36"/>
      <c r="T6" s="36"/>
      <c r="U6" s="36"/>
      <c r="V6" s="36"/>
      <c r="W6" s="36"/>
      <c r="X6" s="36"/>
      <c r="Y6" s="37"/>
    </row>
    <row r="7" spans="1:25" ht="12.75" customHeight="1" x14ac:dyDescent="0.15">
      <c r="A7" s="17" t="s">
        <v>18</v>
      </c>
      <c r="B7" s="18"/>
      <c r="C7" s="18"/>
      <c r="D7" s="18"/>
      <c r="E7" s="18" t="s">
        <v>19</v>
      </c>
      <c r="F7" s="18"/>
      <c r="G7" s="18"/>
      <c r="H7" s="19"/>
      <c r="I7" s="19"/>
      <c r="J7" s="19"/>
      <c r="K7" s="19"/>
      <c r="L7" s="18" t="s">
        <v>20</v>
      </c>
      <c r="M7" s="20">
        <v>14</v>
      </c>
      <c r="N7" s="38" t="s">
        <v>21</v>
      </c>
      <c r="O7" s="36"/>
      <c r="P7" s="36"/>
      <c r="Q7" s="36"/>
      <c r="R7" s="36"/>
      <c r="S7" s="36"/>
      <c r="T7" s="36"/>
      <c r="U7" s="36"/>
      <c r="V7" s="36"/>
      <c r="W7" s="36"/>
      <c r="X7" s="36"/>
      <c r="Y7" s="37"/>
    </row>
    <row r="8" spans="1:25" ht="12.75" customHeight="1" x14ac:dyDescent="0.15">
      <c r="A8" s="17" t="s">
        <v>22</v>
      </c>
      <c r="B8" s="18"/>
      <c r="C8" s="18"/>
      <c r="D8" s="18"/>
      <c r="E8" s="18"/>
      <c r="F8" s="18"/>
      <c r="G8" s="18"/>
      <c r="H8" s="19"/>
      <c r="I8" s="19"/>
      <c r="J8" s="19"/>
      <c r="K8" s="19"/>
      <c r="L8" s="18" t="s">
        <v>23</v>
      </c>
      <c r="M8" s="20">
        <v>16</v>
      </c>
      <c r="N8" s="38" t="s">
        <v>24</v>
      </c>
      <c r="O8" s="36"/>
      <c r="P8" s="36"/>
      <c r="Q8" s="36"/>
      <c r="R8" s="36"/>
      <c r="S8" s="36"/>
      <c r="T8" s="36"/>
      <c r="U8" s="36"/>
      <c r="V8" s="36"/>
      <c r="W8" s="36"/>
      <c r="X8" s="36"/>
      <c r="Y8" s="37"/>
    </row>
    <row r="9" spans="1:25" ht="12.75" customHeight="1" x14ac:dyDescent="0.15">
      <c r="A9" s="17" t="s">
        <v>25</v>
      </c>
      <c r="B9" s="18"/>
      <c r="C9" s="18"/>
      <c r="D9" s="18"/>
      <c r="E9" s="18"/>
      <c r="F9" s="18"/>
      <c r="G9" s="18"/>
      <c r="H9" s="19"/>
      <c r="I9" s="19"/>
      <c r="J9" s="19"/>
      <c r="K9" s="19"/>
      <c r="L9" s="18"/>
      <c r="M9" s="18"/>
      <c r="N9" s="35" t="s">
        <v>26</v>
      </c>
      <c r="O9" s="36"/>
      <c r="P9" s="36"/>
      <c r="Q9" s="36"/>
      <c r="R9" s="36"/>
      <c r="S9" s="36"/>
      <c r="T9" s="36"/>
      <c r="U9" s="36"/>
      <c r="V9" s="36"/>
      <c r="W9" s="36"/>
      <c r="X9" s="36"/>
      <c r="Y9" s="37"/>
    </row>
    <row r="10" spans="1:25" ht="12.75" customHeight="1" x14ac:dyDescent="0.15">
      <c r="A10" s="21" t="s">
        <v>27</v>
      </c>
      <c r="B10" s="22"/>
      <c r="C10" s="22"/>
      <c r="D10" s="22"/>
      <c r="E10" s="22"/>
      <c r="F10" s="22"/>
      <c r="G10" s="22"/>
      <c r="H10" s="23"/>
      <c r="I10" s="23"/>
      <c r="J10" s="23"/>
      <c r="K10" s="23"/>
      <c r="L10" s="22"/>
      <c r="M10" s="22"/>
      <c r="N10" s="38" t="s">
        <v>28</v>
      </c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7"/>
    </row>
    <row r="11" spans="1:25" ht="12.75" customHeight="1" x14ac:dyDescent="0.15">
      <c r="A11" s="1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5"/>
      <c r="M11" s="26"/>
      <c r="N11" s="39" t="s">
        <v>29</v>
      </c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1"/>
    </row>
    <row r="12" spans="1:25" x14ac:dyDescent="0.15">
      <c r="A12" s="27" t="s">
        <v>30</v>
      </c>
      <c r="B12" s="25" t="s">
        <v>31</v>
      </c>
      <c r="C12" s="89" t="s">
        <v>32</v>
      </c>
      <c r="D12" s="89" t="s">
        <v>33</v>
      </c>
      <c r="E12" s="95" t="s">
        <v>34</v>
      </c>
      <c r="F12" s="96"/>
      <c r="G12" s="95"/>
      <c r="H12" s="95" t="s">
        <v>35</v>
      </c>
      <c r="I12" s="95"/>
      <c r="J12" s="95"/>
      <c r="K12" s="88" t="s">
        <v>90</v>
      </c>
      <c r="L12" s="88" t="s">
        <v>96</v>
      </c>
      <c r="M12" s="8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</row>
    <row r="13" spans="1:25" x14ac:dyDescent="0.15">
      <c r="A13" s="42">
        <v>1</v>
      </c>
      <c r="B13" s="43">
        <v>42531</v>
      </c>
      <c r="C13" s="44" t="s">
        <v>42</v>
      </c>
      <c r="D13" s="42" t="s">
        <v>38</v>
      </c>
      <c r="E13" s="45" t="s">
        <v>51</v>
      </c>
      <c r="F13" s="46" t="s">
        <v>39</v>
      </c>
      <c r="G13" s="47" t="s">
        <v>60</v>
      </c>
      <c r="H13" s="48"/>
      <c r="I13" s="46" t="s">
        <v>39</v>
      </c>
      <c r="J13" s="49"/>
      <c r="K13" s="57" t="str">
        <f>IF(OR(Resultat!H13="",H13="",Resultat!J13="",J13=""),"",IF((H13=Resultat!H13)*(J13=Resultat!J13),Resultat!$AA$3+Resultat!$AA$4,IF(((H13-J13)&gt;0)*((Resultat!H13-Resultat!J13)&gt;0),Resultat!$AA$3,IF(((H13-J13)&lt;0)*((Resultat!H13-Resultat!J13)&lt;0),Resultat!$AA$3,IF(((H13-J13)=0)*((Resultat!H13-Resultat!J13)=0),Resultat!$AA$3,0)))))</f>
        <v/>
      </c>
      <c r="L13" s="69" t="str">
        <f>IF(H13&gt;J13,1,IF(H13=J13,"x",IF(H13&lt;J13,2)))</f>
        <v>x</v>
      </c>
    </row>
    <row r="14" spans="1:25" x14ac:dyDescent="0.15">
      <c r="A14" s="42">
        <v>2</v>
      </c>
      <c r="B14" s="43">
        <v>42532</v>
      </c>
      <c r="C14" s="44" t="s">
        <v>59</v>
      </c>
      <c r="D14" s="42" t="s">
        <v>38</v>
      </c>
      <c r="E14" s="45" t="s">
        <v>61</v>
      </c>
      <c r="F14" s="46" t="s">
        <v>39</v>
      </c>
      <c r="G14" s="47" t="s">
        <v>50</v>
      </c>
      <c r="H14" s="48"/>
      <c r="I14" s="46" t="s">
        <v>39</v>
      </c>
      <c r="J14" s="49"/>
      <c r="K14" s="57" t="str">
        <f>IF(OR(Resultat!H14="",H14="",Resultat!J14="",J14=""),"",IF((H14=Resultat!H14)*(J14=Resultat!J14),Resultat!$AA$3+Resultat!$AA$4,IF(((H14-J14)&gt;0)*((Resultat!H14-Resultat!J14)&gt;0),Resultat!$AA$3,IF(((H14-J14)&lt;0)*((Resultat!H14-Resultat!J14)&lt;0),Resultat!$AA$3,IF(((H14-J14)=0)*((Resultat!H14-Resultat!J14)=0),Resultat!$AA$3,0)))))</f>
        <v/>
      </c>
      <c r="L14" s="69" t="str">
        <f t="shared" ref="L14:L63" si="0">IF(H14&gt;J14,1,IF(H14=J14,"x",IF(H14&lt;J14,2)))</f>
        <v>x</v>
      </c>
    </row>
    <row r="15" spans="1:25" ht="13" customHeight="1" x14ac:dyDescent="0.2">
      <c r="A15" s="42">
        <v>3</v>
      </c>
      <c r="B15" s="43">
        <v>42532</v>
      </c>
      <c r="C15" s="44" t="s">
        <v>41</v>
      </c>
      <c r="D15" s="42" t="s">
        <v>43</v>
      </c>
      <c r="E15" s="45" t="s">
        <v>62</v>
      </c>
      <c r="F15" s="46" t="s">
        <v>39</v>
      </c>
      <c r="G15" s="47" t="s">
        <v>63</v>
      </c>
      <c r="H15" s="48"/>
      <c r="I15" s="46" t="s">
        <v>39</v>
      </c>
      <c r="J15" s="49"/>
      <c r="K15" s="57" t="str">
        <f>IF(OR(Resultat!H15="",H15="",Resultat!J15="",J15=""),"",IF((H15=Resultat!H15)*(J15=Resultat!J15),Resultat!$AA$3+Resultat!$AA$4,IF(((H15-J15)&gt;0)*((Resultat!H15-Resultat!J15)&gt;0),Resultat!$AA$3,IF(((H15-J15)&lt;0)*((Resultat!H15-Resultat!J15)&lt;0),Resultat!$AA$3,IF(((H15-J15)=0)*((Resultat!H15-Resultat!J15)=0),Resultat!$AA$3,0)))))</f>
        <v/>
      </c>
      <c r="L15" s="69" t="str">
        <f t="shared" si="0"/>
        <v>x</v>
      </c>
      <c r="N15" s="58"/>
      <c r="O15" s="59"/>
      <c r="P15" s="60" t="s">
        <v>90</v>
      </c>
    </row>
    <row r="16" spans="1:25" ht="13" customHeight="1" x14ac:dyDescent="0.2">
      <c r="A16" s="42">
        <v>4</v>
      </c>
      <c r="B16" s="43">
        <v>42532</v>
      </c>
      <c r="C16" s="44" t="s">
        <v>42</v>
      </c>
      <c r="D16" s="42" t="s">
        <v>43</v>
      </c>
      <c r="E16" s="45" t="s">
        <v>47</v>
      </c>
      <c r="F16" s="46" t="s">
        <v>39</v>
      </c>
      <c r="G16" s="47" t="s">
        <v>56</v>
      </c>
      <c r="H16" s="48"/>
      <c r="I16" s="46" t="s">
        <v>39</v>
      </c>
      <c r="J16" s="49"/>
      <c r="K16" s="57" t="str">
        <f>IF(OR(Resultat!H16="",H16="",Resultat!J16="",J16=""),"",IF((H16=Resultat!H16)*(J16=Resultat!J16),Resultat!$AA$3+Resultat!$AA$4,IF(((H16-J16)&gt;0)*((Resultat!H16-Resultat!J16)&gt;0),Resultat!$AA$3,IF(((H16-J16)&lt;0)*((Resultat!H16-Resultat!J16)&lt;0),Resultat!$AA$3,IF(((H16-J16)=0)*((Resultat!H16-Resultat!J16)=0),Resultat!$AA$3,0)))))</f>
        <v/>
      </c>
      <c r="L16" s="69" t="str">
        <f t="shared" si="0"/>
        <v>x</v>
      </c>
      <c r="N16" s="61" t="s">
        <v>91</v>
      </c>
      <c r="O16" s="62"/>
      <c r="P16" s="63">
        <f>Resultat!$AA$6*(SUMPRODUCT((Resultat!J$13:J$64&lt;&gt;"")*(Resultat!$E$13:$E$64=O16)*(Resultat!$J$13:$J$64=0)))+Resultat!$AA$6*(SUMPRODUCT((Resultat!$H$13:$H$64&lt;&gt;"")*(Resultat!$G$13:$G$64=O16)*(Resultat!$H$13:$H$64=0)))</f>
        <v>0</v>
      </c>
    </row>
    <row r="17" spans="1:16" ht="13" customHeight="1" x14ac:dyDescent="0.2">
      <c r="A17" s="42">
        <v>5</v>
      </c>
      <c r="B17" s="43">
        <v>42533</v>
      </c>
      <c r="C17" s="44" t="s">
        <v>59</v>
      </c>
      <c r="D17" s="42" t="s">
        <v>46</v>
      </c>
      <c r="E17" s="45" t="s">
        <v>64</v>
      </c>
      <c r="F17" s="46" t="s">
        <v>39</v>
      </c>
      <c r="G17" s="47" t="s">
        <v>40</v>
      </c>
      <c r="H17" s="48"/>
      <c r="I17" s="46" t="s">
        <v>39</v>
      </c>
      <c r="J17" s="49"/>
      <c r="K17" s="57" t="str">
        <f>IF(OR(Resultat!H17="",H17="",Resultat!J17="",J17=""),"",IF((H17=Resultat!H17)*(J17=Resultat!J17),Resultat!$AA$3+Resultat!$AA$4,IF(((H17-J17)&gt;0)*((Resultat!H17-Resultat!J17)&gt;0),Resultat!$AA$3,IF(((H17-J17)&lt;0)*((Resultat!H17-Resultat!J17)&lt;0),Resultat!$AA$3,IF(((H17-J17)=0)*((Resultat!H17-Resultat!J17)=0),Resultat!$AA$3,0)))))</f>
        <v/>
      </c>
      <c r="L17" s="69" t="str">
        <f t="shared" si="0"/>
        <v>x</v>
      </c>
      <c r="N17" s="61" t="s">
        <v>92</v>
      </c>
      <c r="O17" s="62"/>
      <c r="P17" s="63">
        <f>COUNTIF(Resultat!$K$13:$AB$64,O17)*Resultat!$AA$6</f>
        <v>0</v>
      </c>
    </row>
    <row r="18" spans="1:16" ht="13" customHeight="1" x14ac:dyDescent="0.2">
      <c r="A18" s="42">
        <v>6</v>
      </c>
      <c r="B18" s="43">
        <v>42533</v>
      </c>
      <c r="C18" s="44" t="s">
        <v>41</v>
      </c>
      <c r="D18" s="42" t="s">
        <v>45</v>
      </c>
      <c r="E18" s="45" t="s">
        <v>65</v>
      </c>
      <c r="F18" s="46" t="s">
        <v>39</v>
      </c>
      <c r="G18" s="47" t="s">
        <v>66</v>
      </c>
      <c r="H18" s="48"/>
      <c r="I18" s="46" t="s">
        <v>39</v>
      </c>
      <c r="J18" s="49"/>
      <c r="K18" s="57" t="str">
        <f>IF(OR(Resultat!H18="",H18="",Resultat!J18="",J18=""),"",IF((H18=Resultat!H18)*(J18=Resultat!J18),Resultat!$AA$3+Resultat!$AA$4,IF(((H18-J18)&gt;0)*((Resultat!H18-Resultat!J18)&gt;0),Resultat!$AA$3,IF(((H18-J18)&lt;0)*((Resultat!H18-Resultat!J18)&lt;0),Resultat!$AA$3,IF(((H18-J18)=0)*((Resultat!H18-Resultat!J18)=0),Resultat!$AA$3,0)))))</f>
        <v/>
      </c>
      <c r="L18" s="69" t="str">
        <f t="shared" si="0"/>
        <v>x</v>
      </c>
      <c r="N18" s="61" t="s">
        <v>93</v>
      </c>
      <c r="O18" s="62"/>
      <c r="P18" s="63">
        <f>COUNTIF(Resultat!$K$13:$AB$64,O18)*Resultat!$AA$6</f>
        <v>0</v>
      </c>
    </row>
    <row r="19" spans="1:16" ht="13" customHeight="1" x14ac:dyDescent="0.2">
      <c r="A19" s="42">
        <v>7</v>
      </c>
      <c r="B19" s="43">
        <v>42533</v>
      </c>
      <c r="C19" s="44" t="s">
        <v>42</v>
      </c>
      <c r="D19" s="42" t="s">
        <v>45</v>
      </c>
      <c r="E19" s="45" t="s">
        <v>53</v>
      </c>
      <c r="F19" s="46" t="s">
        <v>39</v>
      </c>
      <c r="G19" s="47" t="s">
        <v>67</v>
      </c>
      <c r="H19" s="48"/>
      <c r="I19" s="46" t="s">
        <v>39</v>
      </c>
      <c r="J19" s="49"/>
      <c r="K19" s="57" t="str">
        <f>IF(OR(Resultat!H19="",H19="",Resultat!J19="",J19=""),"",IF((H19=Resultat!H19)*(J19=Resultat!J19),Resultat!$AA$3+Resultat!$AA$4,IF(((H19-J19)&gt;0)*((Resultat!H19-Resultat!J19)&gt;0),Resultat!$AA$3,IF(((H19-J19)&lt;0)*((Resultat!H19-Resultat!J19)&lt;0),Resultat!$AA$3,IF(((H19-J19)=0)*((Resultat!H19-Resultat!J19)=0),Resultat!$AA$3,0)))))</f>
        <v/>
      </c>
      <c r="L19" s="69" t="str">
        <f t="shared" si="0"/>
        <v>x</v>
      </c>
      <c r="N19" s="64" t="s">
        <v>94</v>
      </c>
      <c r="O19" s="65"/>
      <c r="P19" s="66">
        <f>COUNTIF(Resultat!$K$13:$AB$64,O19)*Resultat!$AA$6</f>
        <v>0</v>
      </c>
    </row>
    <row r="20" spans="1:16" x14ac:dyDescent="0.15">
      <c r="A20" s="42">
        <v>8</v>
      </c>
      <c r="B20" s="43">
        <v>42534</v>
      </c>
      <c r="C20" s="44" t="s">
        <v>59</v>
      </c>
      <c r="D20" s="42" t="s">
        <v>46</v>
      </c>
      <c r="E20" s="45" t="s">
        <v>44</v>
      </c>
      <c r="F20" s="46" t="s">
        <v>39</v>
      </c>
      <c r="G20" s="47" t="s">
        <v>68</v>
      </c>
      <c r="H20" s="48"/>
      <c r="I20" s="46" t="s">
        <v>39</v>
      </c>
      <c r="J20" s="49"/>
      <c r="K20" s="57" t="str">
        <f>IF(OR(Resultat!H20="",H20="",Resultat!J20="",J20=""),"",IF((H20=Resultat!H20)*(J20=Resultat!J20),Resultat!$AA$3+Resultat!$AA$4,IF(((H20-J20)&gt;0)*((Resultat!H20-Resultat!J20)&gt;0),Resultat!$AA$3,IF(((H20-J20)&lt;0)*((Resultat!H20-Resultat!J20)&lt;0),Resultat!$AA$3,IF(((H20-J20)=0)*((Resultat!H20-Resultat!J20)=0),Resultat!$AA$3,0)))))</f>
        <v/>
      </c>
      <c r="L20" s="69" t="str">
        <f t="shared" si="0"/>
        <v>x</v>
      </c>
    </row>
    <row r="21" spans="1:16" x14ac:dyDescent="0.15">
      <c r="A21" s="42">
        <v>9</v>
      </c>
      <c r="B21" s="43">
        <v>42534</v>
      </c>
      <c r="C21" s="44" t="s">
        <v>41</v>
      </c>
      <c r="D21" s="42" t="s">
        <v>49</v>
      </c>
      <c r="E21" s="45" t="s">
        <v>69</v>
      </c>
      <c r="F21" s="46" t="s">
        <v>39</v>
      </c>
      <c r="G21" s="47" t="s">
        <v>70</v>
      </c>
      <c r="H21" s="48"/>
      <c r="I21" s="46" t="s">
        <v>39</v>
      </c>
      <c r="J21" s="49"/>
      <c r="K21" s="57" t="str">
        <f>IF(OR(Resultat!H21="",H21="",Resultat!J21="",J21=""),"",IF((H21=Resultat!H21)*(J21=Resultat!J21),Resultat!$AA$3+Resultat!$AA$4,IF(((H21-J21)&gt;0)*((Resultat!H21-Resultat!J21)&gt;0),Resultat!$AA$3,IF(((H21-J21)&lt;0)*((Resultat!H21-Resultat!J21)&lt;0),Resultat!$AA$3,IF(((H21-J21)=0)*((Resultat!H21-Resultat!J21)=0),Resultat!$AA$3,0)))))</f>
        <v/>
      </c>
      <c r="L21" s="69" t="str">
        <f t="shared" si="0"/>
        <v>x</v>
      </c>
    </row>
    <row r="22" spans="1:16" x14ac:dyDescent="0.15">
      <c r="A22" s="42">
        <v>10</v>
      </c>
      <c r="B22" s="43">
        <v>42534</v>
      </c>
      <c r="C22" s="44" t="s">
        <v>42</v>
      </c>
      <c r="D22" s="42" t="s">
        <v>49</v>
      </c>
      <c r="E22" s="45" t="s">
        <v>55</v>
      </c>
      <c r="F22" s="46" t="s">
        <v>39</v>
      </c>
      <c r="G22" s="47" t="s">
        <v>48</v>
      </c>
      <c r="H22" s="48"/>
      <c r="I22" s="46" t="s">
        <v>39</v>
      </c>
      <c r="J22" s="49"/>
      <c r="K22" s="57" t="str">
        <f>IF(OR(Resultat!H22="",H22="",Resultat!J22="",J22=""),"",IF((H22=Resultat!H22)*(J22=Resultat!J22),Resultat!$AA$3+Resultat!$AA$4,IF(((H22-J22)&gt;0)*((Resultat!H22-Resultat!J22)&gt;0),Resultat!$AA$3,IF(((H22-J22)&lt;0)*((Resultat!H22-Resultat!J22)&lt;0),Resultat!$AA$3,IF(((H22-J22)=0)*((Resultat!H22-Resultat!J22)=0),Resultat!$AA$3,0)))))</f>
        <v/>
      </c>
      <c r="L22" s="69" t="str">
        <f t="shared" si="0"/>
        <v>x</v>
      </c>
    </row>
    <row r="23" spans="1:16" x14ac:dyDescent="0.15">
      <c r="A23" s="42">
        <v>11</v>
      </c>
      <c r="B23" s="43">
        <v>42535</v>
      </c>
      <c r="C23" s="44" t="s">
        <v>41</v>
      </c>
      <c r="D23" s="42" t="s">
        <v>52</v>
      </c>
      <c r="E23" s="45" t="s">
        <v>71</v>
      </c>
      <c r="F23" s="46" t="s">
        <v>39</v>
      </c>
      <c r="G23" s="47" t="s">
        <v>72</v>
      </c>
      <c r="H23" s="48"/>
      <c r="I23" s="46" t="s">
        <v>39</v>
      </c>
      <c r="J23" s="49"/>
      <c r="K23" s="57" t="str">
        <f>IF(OR(Resultat!H23="",H23="",Resultat!J23="",J23=""),"",IF((H23=Resultat!H23)*(J23=Resultat!J23),Resultat!$AA$3+Resultat!$AA$4,IF(((H23-J23)&gt;0)*((Resultat!H23-Resultat!J23)&gt;0),Resultat!$AA$3,IF(((H23-J23)&lt;0)*((Resultat!H23-Resultat!J23)&lt;0),Resultat!$AA$3,IF(((H23-J23)=0)*((Resultat!H23-Resultat!J23)=0),Resultat!$AA$3,0)))))</f>
        <v/>
      </c>
      <c r="L23" s="69" t="str">
        <f t="shared" si="0"/>
        <v>x</v>
      </c>
    </row>
    <row r="24" spans="1:16" x14ac:dyDescent="0.15">
      <c r="A24" s="42">
        <v>12</v>
      </c>
      <c r="B24" s="43">
        <v>42535</v>
      </c>
      <c r="C24" s="44" t="s">
        <v>42</v>
      </c>
      <c r="D24" s="42" t="s">
        <v>52</v>
      </c>
      <c r="E24" s="45" t="s">
        <v>54</v>
      </c>
      <c r="F24" s="46" t="s">
        <v>39</v>
      </c>
      <c r="G24" s="47" t="s">
        <v>73</v>
      </c>
      <c r="H24" s="48"/>
      <c r="I24" s="46" t="s">
        <v>39</v>
      </c>
      <c r="J24" s="49"/>
      <c r="K24" s="57" t="str">
        <f>IF(OR(Resultat!H24="",H24="",Resultat!J24="",J24=""),"",IF((H24=Resultat!H24)*(J24=Resultat!J24),Resultat!$AA$3+Resultat!$AA$4,IF(((H24-J24)&gt;0)*((Resultat!H24-Resultat!J24)&gt;0),Resultat!$AA$3,IF(((H24-J24)&lt;0)*((Resultat!H24-Resultat!J24)&lt;0),Resultat!$AA$3,IF(((H24-J24)=0)*((Resultat!H24-Resultat!J24)=0),Resultat!$AA$3,0)))))</f>
        <v/>
      </c>
      <c r="L24" s="69" t="str">
        <f t="shared" si="0"/>
        <v>x</v>
      </c>
    </row>
    <row r="25" spans="1:16" x14ac:dyDescent="0.15">
      <c r="A25" s="42">
        <v>13</v>
      </c>
      <c r="B25" s="43">
        <v>42536</v>
      </c>
      <c r="C25" s="44" t="s">
        <v>59</v>
      </c>
      <c r="D25" s="42" t="s">
        <v>43</v>
      </c>
      <c r="E25" s="45" t="s">
        <v>56</v>
      </c>
      <c r="F25" s="46" t="s">
        <v>39</v>
      </c>
      <c r="G25" s="47" t="s">
        <v>63</v>
      </c>
      <c r="H25" s="48"/>
      <c r="I25" s="46" t="s">
        <v>39</v>
      </c>
      <c r="J25" s="49"/>
      <c r="K25" s="57" t="str">
        <f>IF(OR(Resultat!H25="",H25="",Resultat!J25="",J25=""),"",IF((H25=Resultat!H25)*(J25=Resultat!J25),Resultat!$AA$3+Resultat!$AA$4,IF(((H25-J25)&gt;0)*((Resultat!H25-Resultat!J25)&gt;0),Resultat!$AA$3,IF(((H25-J25)&lt;0)*((Resultat!H25-Resultat!J25)&lt;0),Resultat!$AA$3,IF(((H25-J25)=0)*((Resultat!H25-Resultat!J25)=0),Resultat!$AA$3,0)))))</f>
        <v/>
      </c>
      <c r="L25" s="69" t="str">
        <f t="shared" si="0"/>
        <v>x</v>
      </c>
    </row>
    <row r="26" spans="1:16" x14ac:dyDescent="0.15">
      <c r="A26" s="42">
        <v>14</v>
      </c>
      <c r="B26" s="43">
        <v>42536</v>
      </c>
      <c r="C26" s="44" t="s">
        <v>41</v>
      </c>
      <c r="D26" s="42" t="s">
        <v>38</v>
      </c>
      <c r="E26" s="45" t="s">
        <v>60</v>
      </c>
      <c r="F26" s="46" t="s">
        <v>39</v>
      </c>
      <c r="G26" s="47" t="s">
        <v>50</v>
      </c>
      <c r="H26" s="48"/>
      <c r="I26" s="46" t="s">
        <v>39</v>
      </c>
      <c r="J26" s="49"/>
      <c r="K26" s="57" t="str">
        <f>IF(OR(Resultat!H26="",H26="",Resultat!J26="",J26=""),"",IF((H26=Resultat!H26)*(J26=Resultat!J26),Resultat!$AA$3+Resultat!$AA$4,IF(((H26-J26)&gt;0)*((Resultat!H26-Resultat!J26)&gt;0),Resultat!$AA$3,IF(((H26-J26)&lt;0)*((Resultat!H26-Resultat!J26)&lt;0),Resultat!$AA$3,IF(((H26-J26)=0)*((Resultat!H26-Resultat!J26)=0),Resultat!$AA$3,0)))))</f>
        <v/>
      </c>
      <c r="L26" s="69" t="str">
        <f t="shared" si="0"/>
        <v>x</v>
      </c>
    </row>
    <row r="27" spans="1:16" x14ac:dyDescent="0.15">
      <c r="A27" s="42">
        <v>15</v>
      </c>
      <c r="B27" s="43">
        <v>42536</v>
      </c>
      <c r="C27" s="44" t="s">
        <v>42</v>
      </c>
      <c r="D27" s="42" t="s">
        <v>38</v>
      </c>
      <c r="E27" s="45" t="s">
        <v>51</v>
      </c>
      <c r="F27" s="46" t="s">
        <v>39</v>
      </c>
      <c r="G27" s="47" t="s">
        <v>61</v>
      </c>
      <c r="H27" s="48"/>
      <c r="I27" s="46" t="s">
        <v>39</v>
      </c>
      <c r="J27" s="49"/>
      <c r="K27" s="57" t="str">
        <f>IF(OR(Resultat!H27="",H27="",Resultat!J27="",J27=""),"",IF((H27=Resultat!H27)*(J27=Resultat!J27),Resultat!$AA$3+Resultat!$AA$4,IF(((H27-J27)&gt;0)*((Resultat!H27-Resultat!J27)&gt;0),Resultat!$AA$3,IF(((H27-J27)&lt;0)*((Resultat!H27-Resultat!J27)&lt;0),Resultat!$AA$3,IF(((H27-J27)=0)*((Resultat!H27-Resultat!J27)=0),Resultat!$AA$3,0)))))</f>
        <v/>
      </c>
      <c r="L27" s="69" t="str">
        <f t="shared" si="0"/>
        <v>x</v>
      </c>
    </row>
    <row r="28" spans="1:16" x14ac:dyDescent="0.15">
      <c r="A28" s="42">
        <v>16</v>
      </c>
      <c r="B28" s="43">
        <v>42537</v>
      </c>
      <c r="C28" s="44" t="s">
        <v>59</v>
      </c>
      <c r="D28" s="42" t="s">
        <v>43</v>
      </c>
      <c r="E28" s="45" t="s">
        <v>47</v>
      </c>
      <c r="F28" s="46" t="s">
        <v>39</v>
      </c>
      <c r="G28" s="47" t="s">
        <v>62</v>
      </c>
      <c r="H28" s="48"/>
      <c r="I28" s="46" t="s">
        <v>39</v>
      </c>
      <c r="J28" s="49"/>
      <c r="K28" s="57" t="str">
        <f>IF(OR(Resultat!H28="",H28="",Resultat!J28="",J28=""),"",IF((H28=Resultat!H28)*(J28=Resultat!J28),Resultat!$AA$3+Resultat!$AA$4,IF(((H28-J28)&gt;0)*((Resultat!H28-Resultat!J28)&gt;0),Resultat!$AA$3,IF(((H28-J28)&lt;0)*((Resultat!H28-Resultat!J28)&lt;0),Resultat!$AA$3,IF(((H28-J28)=0)*((Resultat!H28-Resultat!J28)=0),Resultat!$AA$3,0)))))</f>
        <v/>
      </c>
      <c r="L28" s="69" t="str">
        <f t="shared" si="0"/>
        <v>x</v>
      </c>
    </row>
    <row r="29" spans="1:16" x14ac:dyDescent="0.15">
      <c r="A29" s="42">
        <v>17</v>
      </c>
      <c r="B29" s="43">
        <v>42537</v>
      </c>
      <c r="C29" s="44" t="s">
        <v>41</v>
      </c>
      <c r="D29" s="42" t="s">
        <v>45</v>
      </c>
      <c r="E29" s="45" t="s">
        <v>67</v>
      </c>
      <c r="F29" s="46" t="s">
        <v>39</v>
      </c>
      <c r="G29" s="47" t="s">
        <v>66</v>
      </c>
      <c r="H29" s="48"/>
      <c r="I29" s="46" t="s">
        <v>39</v>
      </c>
      <c r="J29" s="49"/>
      <c r="K29" s="57" t="str">
        <f>IF(OR(Resultat!H29="",H29="",Resultat!J29="",J29=""),"",IF((H29=Resultat!H29)*(J29=Resultat!J29),Resultat!$AA$3+Resultat!$AA$4,IF(((H29-J29)&gt;0)*((Resultat!H29-Resultat!J29)&gt;0),Resultat!$AA$3,IF(((H29-J29)&lt;0)*((Resultat!H29-Resultat!J29)&lt;0),Resultat!$AA$3,IF(((H29-J29)=0)*((Resultat!H29-Resultat!J29)=0),Resultat!$AA$3,0)))))</f>
        <v/>
      </c>
      <c r="L29" s="69" t="str">
        <f t="shared" si="0"/>
        <v>x</v>
      </c>
    </row>
    <row r="30" spans="1:16" x14ac:dyDescent="0.15">
      <c r="A30" s="42">
        <v>18</v>
      </c>
      <c r="B30" s="43">
        <v>42537</v>
      </c>
      <c r="C30" s="44" t="s">
        <v>42</v>
      </c>
      <c r="D30" s="42" t="s">
        <v>45</v>
      </c>
      <c r="E30" s="45" t="s">
        <v>53</v>
      </c>
      <c r="F30" s="46" t="s">
        <v>39</v>
      </c>
      <c r="G30" s="47" t="s">
        <v>65</v>
      </c>
      <c r="H30" s="48"/>
      <c r="I30" s="46" t="s">
        <v>39</v>
      </c>
      <c r="J30" s="49"/>
      <c r="K30" s="57" t="str">
        <f>IF(OR(Resultat!H30="",H30="",Resultat!J30="",J30=""),"",IF((H30=Resultat!H30)*(J30=Resultat!J30),Resultat!$AA$3+Resultat!$AA$4,IF(((H30-J30)&gt;0)*((Resultat!H30-Resultat!J30)&gt;0),Resultat!$AA$3,IF(((H30-J30)&lt;0)*((Resultat!H30-Resultat!J30)&lt;0),Resultat!$AA$3,IF(((H30-J30)=0)*((Resultat!H30-Resultat!J30)=0),Resultat!$AA$3,0)))))</f>
        <v/>
      </c>
      <c r="L30" s="69" t="str">
        <f t="shared" si="0"/>
        <v>x</v>
      </c>
    </row>
    <row r="31" spans="1:16" x14ac:dyDescent="0.15">
      <c r="A31" s="42">
        <v>19</v>
      </c>
      <c r="B31" s="43">
        <v>42538</v>
      </c>
      <c r="C31" s="44" t="s">
        <v>59</v>
      </c>
      <c r="D31" s="42" t="s">
        <v>49</v>
      </c>
      <c r="E31" s="45" t="s">
        <v>48</v>
      </c>
      <c r="F31" s="46" t="s">
        <v>39</v>
      </c>
      <c r="G31" s="47" t="s">
        <v>70</v>
      </c>
      <c r="H31" s="48"/>
      <c r="I31" s="46" t="s">
        <v>39</v>
      </c>
      <c r="J31" s="49"/>
      <c r="K31" s="57" t="str">
        <f>IF(OR(Resultat!H31="",H31="",Resultat!J31="",J31=""),"",IF((H31=Resultat!H31)*(J31=Resultat!J31),Resultat!$AA$3+Resultat!$AA$4,IF(((H31-J31)&gt;0)*((Resultat!H31-Resultat!J31)&gt;0),Resultat!$AA$3,IF(((H31-J31)&lt;0)*((Resultat!H31-Resultat!J31)&lt;0),Resultat!$AA$3,IF(((H31-J31)=0)*((Resultat!H31-Resultat!J31)=0),Resultat!$AA$3,0)))))</f>
        <v/>
      </c>
      <c r="L31" s="69" t="str">
        <f t="shared" si="0"/>
        <v>x</v>
      </c>
    </row>
    <row r="32" spans="1:16" x14ac:dyDescent="0.15">
      <c r="A32" s="42">
        <v>20</v>
      </c>
      <c r="B32" s="43">
        <v>42538</v>
      </c>
      <c r="C32" s="50" t="s">
        <v>41</v>
      </c>
      <c r="D32" s="42" t="s">
        <v>46</v>
      </c>
      <c r="E32" s="45" t="s">
        <v>68</v>
      </c>
      <c r="F32" s="46" t="s">
        <v>39</v>
      </c>
      <c r="G32" s="47" t="s">
        <v>40</v>
      </c>
      <c r="H32" s="48"/>
      <c r="I32" s="46" t="s">
        <v>39</v>
      </c>
      <c r="J32" s="49"/>
      <c r="K32" s="57" t="str">
        <f>IF(OR(Resultat!H32="",H32="",Resultat!J32="",J32=""),"",IF((H32=Resultat!H32)*(J32=Resultat!J32),Resultat!$AA$3+Resultat!$AA$4,IF(((H32-J32)&gt;0)*((Resultat!H32-Resultat!J32)&gt;0),Resultat!$AA$3,IF(((H32-J32)&lt;0)*((Resultat!H32-Resultat!J32)&lt;0),Resultat!$AA$3,IF(((H32-J32)=0)*((Resultat!H32-Resultat!J32)=0),Resultat!$AA$3,0)))))</f>
        <v/>
      </c>
      <c r="L32" s="69" t="str">
        <f t="shared" si="0"/>
        <v>x</v>
      </c>
    </row>
    <row r="33" spans="1:12" x14ac:dyDescent="0.15">
      <c r="A33" s="42">
        <v>21</v>
      </c>
      <c r="B33" s="43">
        <v>42538</v>
      </c>
      <c r="C33" s="44" t="s">
        <v>42</v>
      </c>
      <c r="D33" s="42" t="s">
        <v>46</v>
      </c>
      <c r="E33" s="45" t="s">
        <v>44</v>
      </c>
      <c r="F33" s="46" t="s">
        <v>39</v>
      </c>
      <c r="G33" s="47" t="s">
        <v>64</v>
      </c>
      <c r="H33" s="48"/>
      <c r="I33" s="46" t="s">
        <v>39</v>
      </c>
      <c r="J33" s="49"/>
      <c r="K33" s="57" t="str">
        <f>IF(OR(Resultat!H33="",H33="",Resultat!J33="",J33=""),"",IF((H33=Resultat!H33)*(J33=Resultat!J33),Resultat!$AA$3+Resultat!$AA$4,IF(((H33-J33)&gt;0)*((Resultat!H33-Resultat!J33)&gt;0),Resultat!$AA$3,IF(((H33-J33)&lt;0)*((Resultat!H33-Resultat!J33)&lt;0),Resultat!$AA$3,IF(((H33-J33)=0)*((Resultat!H33-Resultat!J33)=0),Resultat!$AA$3,0)))))</f>
        <v/>
      </c>
      <c r="L33" s="69" t="str">
        <f t="shared" si="0"/>
        <v>x</v>
      </c>
    </row>
    <row r="34" spans="1:12" x14ac:dyDescent="0.15">
      <c r="A34" s="42">
        <v>22</v>
      </c>
      <c r="B34" s="43">
        <v>42539</v>
      </c>
      <c r="C34" s="44" t="s">
        <v>59</v>
      </c>
      <c r="D34" s="42" t="s">
        <v>49</v>
      </c>
      <c r="E34" s="45" t="s">
        <v>55</v>
      </c>
      <c r="F34" s="46" t="s">
        <v>39</v>
      </c>
      <c r="G34" s="47" t="s">
        <v>69</v>
      </c>
      <c r="H34" s="48"/>
      <c r="I34" s="46" t="s">
        <v>39</v>
      </c>
      <c r="J34" s="49"/>
      <c r="K34" s="57" t="str">
        <f>IF(OR(Resultat!H34="",H34="",Resultat!J34="",J34=""),"",IF((H34=Resultat!H34)*(J34=Resultat!J34),Resultat!$AA$3+Resultat!$AA$4,IF(((H34-J34)&gt;0)*((Resultat!H34-Resultat!J34)&gt;0),Resultat!$AA$3,IF(((H34-J34)&lt;0)*((Resultat!H34-Resultat!J34)&lt;0),Resultat!$AA$3,IF(((H34-J34)=0)*((Resultat!H34-Resultat!J34)=0),Resultat!$AA$3,0)))))</f>
        <v/>
      </c>
      <c r="L34" s="69" t="str">
        <f t="shared" si="0"/>
        <v>x</v>
      </c>
    </row>
    <row r="35" spans="1:12" x14ac:dyDescent="0.15">
      <c r="A35" s="42">
        <v>23</v>
      </c>
      <c r="B35" s="43">
        <v>42539</v>
      </c>
      <c r="C35" s="44" t="s">
        <v>41</v>
      </c>
      <c r="D35" s="42" t="s">
        <v>52</v>
      </c>
      <c r="E35" s="45" t="s">
        <v>73</v>
      </c>
      <c r="F35" s="46" t="s">
        <v>39</v>
      </c>
      <c r="G35" s="47" t="s">
        <v>72</v>
      </c>
      <c r="H35" s="48"/>
      <c r="I35" s="46" t="s">
        <v>39</v>
      </c>
      <c r="J35" s="49"/>
      <c r="K35" s="57" t="str">
        <f>IF(OR(Resultat!H35="",H35="",Resultat!J35="",J35=""),"",IF((H35=Resultat!H35)*(J35=Resultat!J35),Resultat!$AA$3+Resultat!$AA$4,IF(((H35-J35)&gt;0)*((Resultat!H35-Resultat!J35)&gt;0),Resultat!$AA$3,IF(((H35-J35)&lt;0)*((Resultat!H35-Resultat!J35)&lt;0),Resultat!$AA$3,IF(((H35-J35)=0)*((Resultat!H35-Resultat!J35)=0),Resultat!$AA$3,0)))))</f>
        <v/>
      </c>
      <c r="L35" s="69" t="str">
        <f t="shared" si="0"/>
        <v>x</v>
      </c>
    </row>
    <row r="36" spans="1:12" x14ac:dyDescent="0.15">
      <c r="A36" s="42">
        <v>24</v>
      </c>
      <c r="B36" s="43">
        <v>42539</v>
      </c>
      <c r="C36" s="44" t="s">
        <v>42</v>
      </c>
      <c r="D36" s="42" t="s">
        <v>52</v>
      </c>
      <c r="E36" s="45" t="s">
        <v>54</v>
      </c>
      <c r="F36" s="46" t="s">
        <v>39</v>
      </c>
      <c r="G36" s="47" t="s">
        <v>71</v>
      </c>
      <c r="H36" s="48"/>
      <c r="I36" s="46" t="s">
        <v>39</v>
      </c>
      <c r="J36" s="49"/>
      <c r="K36" s="57" t="str">
        <f>IF(OR(Resultat!H36="",H36="",Resultat!J36="",J36=""),"",IF((H36=Resultat!H36)*(J36=Resultat!J36),Resultat!$AA$3+Resultat!$AA$4,IF(((H36-J36)&gt;0)*((Resultat!H36-Resultat!J36)&gt;0),Resultat!$AA$3,IF(((H36-J36)&lt;0)*((Resultat!H36-Resultat!J36)&lt;0),Resultat!$AA$3,IF(((H36-J36)=0)*((Resultat!H36-Resultat!J36)=0),Resultat!$AA$3,0)))))</f>
        <v/>
      </c>
      <c r="L36" s="69" t="str">
        <f t="shared" si="0"/>
        <v>x</v>
      </c>
    </row>
    <row r="37" spans="1:12" x14ac:dyDescent="0.15">
      <c r="A37" s="42">
        <v>25</v>
      </c>
      <c r="B37" s="43">
        <v>42540</v>
      </c>
      <c r="C37" s="44" t="s">
        <v>42</v>
      </c>
      <c r="D37" s="42" t="s">
        <v>38</v>
      </c>
      <c r="E37" s="45" t="s">
        <v>50</v>
      </c>
      <c r="F37" s="46" t="s">
        <v>39</v>
      </c>
      <c r="G37" s="47" t="s">
        <v>51</v>
      </c>
      <c r="H37" s="48"/>
      <c r="I37" s="46" t="s">
        <v>39</v>
      </c>
      <c r="J37" s="49"/>
      <c r="K37" s="57" t="str">
        <f>IF(OR(Resultat!H37="",H37="",Resultat!J37="",J37=""),"",IF((H37=Resultat!H37)*(J37=Resultat!J37),Resultat!$AA$3+Resultat!$AA$4,IF(((H37-J37)&gt;0)*((Resultat!H37-Resultat!J37)&gt;0),Resultat!$AA$3,IF(((H37-J37)&lt;0)*((Resultat!H37-Resultat!J37)&lt;0),Resultat!$AA$3,IF(((H37-J37)=0)*((Resultat!H37-Resultat!J37)=0),Resultat!$AA$3,0)))))</f>
        <v/>
      </c>
      <c r="L37" s="69" t="str">
        <f t="shared" si="0"/>
        <v>x</v>
      </c>
    </row>
    <row r="38" spans="1:12" x14ac:dyDescent="0.15">
      <c r="A38" s="42">
        <v>26</v>
      </c>
      <c r="B38" s="43">
        <v>42540</v>
      </c>
      <c r="C38" s="44" t="s">
        <v>42</v>
      </c>
      <c r="D38" s="42" t="s">
        <v>38</v>
      </c>
      <c r="E38" s="45" t="s">
        <v>60</v>
      </c>
      <c r="F38" s="46" t="s">
        <v>39</v>
      </c>
      <c r="G38" s="47" t="s">
        <v>61</v>
      </c>
      <c r="H38" s="48"/>
      <c r="I38" s="46" t="s">
        <v>39</v>
      </c>
      <c r="J38" s="49"/>
      <c r="K38" s="57" t="str">
        <f>IF(OR(Resultat!H38="",H38="",Resultat!J38="",J38=""),"",IF((H38=Resultat!H38)*(J38=Resultat!J38),Resultat!$AA$3+Resultat!$AA$4,IF(((H38-J38)&gt;0)*((Resultat!H38-Resultat!J38)&gt;0),Resultat!$AA$3,IF(((H38-J38)&lt;0)*((Resultat!H38-Resultat!J38)&lt;0),Resultat!$AA$3,IF(((H38-J38)=0)*((Resultat!H38-Resultat!J38)=0),Resultat!$AA$3,0)))))</f>
        <v/>
      </c>
      <c r="L38" s="69" t="str">
        <f t="shared" si="0"/>
        <v>x</v>
      </c>
    </row>
    <row r="39" spans="1:12" x14ac:dyDescent="0.15">
      <c r="A39" s="42">
        <v>27</v>
      </c>
      <c r="B39" s="43">
        <v>42541</v>
      </c>
      <c r="C39" s="44" t="s">
        <v>42</v>
      </c>
      <c r="D39" s="42" t="s">
        <v>43</v>
      </c>
      <c r="E39" s="45" t="s">
        <v>63</v>
      </c>
      <c r="F39" s="46" t="s">
        <v>39</v>
      </c>
      <c r="G39" s="47" t="s">
        <v>47</v>
      </c>
      <c r="H39" s="48"/>
      <c r="I39" s="46" t="s">
        <v>39</v>
      </c>
      <c r="J39" s="49"/>
      <c r="K39" s="57" t="str">
        <f>IF(OR(Resultat!H39="",H39="",Resultat!J39="",J39=""),"",IF((H39=Resultat!H39)*(J39=Resultat!J39),Resultat!$AA$3+Resultat!$AA$4,IF(((H39-J39)&gt;0)*((Resultat!H39-Resultat!J39)&gt;0),Resultat!$AA$3,IF(((H39-J39)&lt;0)*((Resultat!H39-Resultat!J39)&lt;0),Resultat!$AA$3,IF(((H39-J39)=0)*((Resultat!H39-Resultat!J39)=0),Resultat!$AA$3,0)))))</f>
        <v/>
      </c>
      <c r="L39" s="69" t="str">
        <f t="shared" si="0"/>
        <v>x</v>
      </c>
    </row>
    <row r="40" spans="1:12" x14ac:dyDescent="0.15">
      <c r="A40" s="42">
        <v>28</v>
      </c>
      <c r="B40" s="43">
        <v>42541</v>
      </c>
      <c r="C40" s="44" t="s">
        <v>42</v>
      </c>
      <c r="D40" s="42" t="s">
        <v>43</v>
      </c>
      <c r="E40" s="45" t="s">
        <v>56</v>
      </c>
      <c r="F40" s="46" t="s">
        <v>39</v>
      </c>
      <c r="G40" s="47" t="s">
        <v>62</v>
      </c>
      <c r="H40" s="48"/>
      <c r="I40" s="46" t="s">
        <v>39</v>
      </c>
      <c r="J40" s="49"/>
      <c r="K40" s="57" t="str">
        <f>IF(OR(Resultat!H40="",H40="",Resultat!J40="",J40=""),"",IF((H40=Resultat!H40)*(J40=Resultat!J40),Resultat!$AA$3+Resultat!$AA$4,IF(((H40-J40)&gt;0)*((Resultat!H40-Resultat!J40)&gt;0),Resultat!$AA$3,IF(((H40-J40)&lt;0)*((Resultat!H40-Resultat!J40)&lt;0),Resultat!$AA$3,IF(((H40-J40)=0)*((Resultat!H40-Resultat!J40)=0),Resultat!$AA$3,0)))))</f>
        <v/>
      </c>
      <c r="L40" s="69" t="str">
        <f t="shared" si="0"/>
        <v>x</v>
      </c>
    </row>
    <row r="41" spans="1:12" x14ac:dyDescent="0.15">
      <c r="A41" s="42">
        <v>29</v>
      </c>
      <c r="B41" s="43">
        <v>42542</v>
      </c>
      <c r="C41" s="44" t="s">
        <v>41</v>
      </c>
      <c r="D41" s="42" t="s">
        <v>45</v>
      </c>
      <c r="E41" s="45" t="s">
        <v>66</v>
      </c>
      <c r="F41" s="46" t="s">
        <v>39</v>
      </c>
      <c r="G41" s="47" t="s">
        <v>53</v>
      </c>
      <c r="H41" s="48"/>
      <c r="I41" s="46" t="s">
        <v>39</v>
      </c>
      <c r="J41" s="49"/>
      <c r="K41" s="57" t="str">
        <f>IF(OR(Resultat!H41="",H41="",Resultat!J41="",J41=""),"",IF((H41=Resultat!H41)*(J41=Resultat!J41),Resultat!$AA$3+Resultat!$AA$4,IF(((H41-J41)&gt;0)*((Resultat!H41-Resultat!J41)&gt;0),Resultat!$AA$3,IF(((H41-J41)&lt;0)*((Resultat!H41-Resultat!J41)&lt;0),Resultat!$AA$3,IF(((H41-J41)=0)*((Resultat!H41-Resultat!J41)=0),Resultat!$AA$3,0)))))</f>
        <v/>
      </c>
      <c r="L41" s="69" t="str">
        <f t="shared" si="0"/>
        <v>x</v>
      </c>
    </row>
    <row r="42" spans="1:12" x14ac:dyDescent="0.15">
      <c r="A42" s="42">
        <v>30</v>
      </c>
      <c r="B42" s="43">
        <v>42542</v>
      </c>
      <c r="C42" s="44" t="s">
        <v>41</v>
      </c>
      <c r="D42" s="42" t="s">
        <v>45</v>
      </c>
      <c r="E42" s="45" t="s">
        <v>67</v>
      </c>
      <c r="F42" s="46" t="s">
        <v>39</v>
      </c>
      <c r="G42" s="47" t="s">
        <v>65</v>
      </c>
      <c r="H42" s="48"/>
      <c r="I42" s="46" t="s">
        <v>39</v>
      </c>
      <c r="J42" s="49"/>
      <c r="K42" s="57" t="str">
        <f>IF(OR(Resultat!H42="",H42="",Resultat!J42="",J42=""),"",IF((H42=Resultat!H42)*(J42=Resultat!J42),Resultat!$AA$3+Resultat!$AA$4,IF(((H42-J42)&gt;0)*((Resultat!H42-Resultat!J42)&gt;0),Resultat!$AA$3,IF(((H42-J42)&lt;0)*((Resultat!H42-Resultat!J42)&lt;0),Resultat!$AA$3,IF(((H42-J42)=0)*((Resultat!H42-Resultat!J42)=0),Resultat!$AA$3,0)))))</f>
        <v/>
      </c>
      <c r="L42" s="69" t="str">
        <f t="shared" si="0"/>
        <v>x</v>
      </c>
    </row>
    <row r="43" spans="1:12" x14ac:dyDescent="0.15">
      <c r="A43" s="42">
        <v>31</v>
      </c>
      <c r="B43" s="43">
        <v>42542</v>
      </c>
      <c r="C43" s="44" t="s">
        <v>42</v>
      </c>
      <c r="D43" s="42" t="s">
        <v>46</v>
      </c>
      <c r="E43" s="45" t="s">
        <v>40</v>
      </c>
      <c r="F43" s="46" t="s">
        <v>39</v>
      </c>
      <c r="G43" s="47" t="s">
        <v>44</v>
      </c>
      <c r="H43" s="48"/>
      <c r="I43" s="46" t="s">
        <v>39</v>
      </c>
      <c r="J43" s="49"/>
      <c r="K43" s="57" t="str">
        <f>IF(OR(Resultat!H43="",H43="",Resultat!J43="",J43=""),"",IF((H43=Resultat!H43)*(J43=Resultat!J43),Resultat!$AA$3+Resultat!$AA$4,IF(((H43-J43)&gt;0)*((Resultat!H43-Resultat!J43)&gt;0),Resultat!$AA$3,IF(((H43-J43)&lt;0)*((Resultat!H43-Resultat!J43)&lt;0),Resultat!$AA$3,IF(((H43-J43)=0)*((Resultat!H43-Resultat!J43)=0),Resultat!$AA$3,0)))))</f>
        <v/>
      </c>
      <c r="L43" s="69" t="str">
        <f t="shared" si="0"/>
        <v>x</v>
      </c>
    </row>
    <row r="44" spans="1:12" x14ac:dyDescent="0.15">
      <c r="A44" s="42">
        <v>32</v>
      </c>
      <c r="B44" s="43">
        <v>42542</v>
      </c>
      <c r="C44" s="44" t="s">
        <v>42</v>
      </c>
      <c r="D44" s="42" t="s">
        <v>46</v>
      </c>
      <c r="E44" s="45" t="s">
        <v>68</v>
      </c>
      <c r="F44" s="46" t="s">
        <v>39</v>
      </c>
      <c r="G44" s="47" t="s">
        <v>64</v>
      </c>
      <c r="H44" s="48"/>
      <c r="I44" s="46" t="s">
        <v>39</v>
      </c>
      <c r="J44" s="49"/>
      <c r="K44" s="57" t="str">
        <f>IF(OR(Resultat!H44="",H44="",Resultat!J44="",J44=""),"",IF((H44=Resultat!H44)*(J44=Resultat!J44),Resultat!$AA$3+Resultat!$AA$4,IF(((H44-J44)&gt;0)*((Resultat!H44-Resultat!J44)&gt;0),Resultat!$AA$3,IF(((H44-J44)&lt;0)*((Resultat!H44-Resultat!J44)&lt;0),Resultat!$AA$3,IF(((H44-J44)=0)*((Resultat!H44-Resultat!J44)=0),Resultat!$AA$3,0)))))</f>
        <v/>
      </c>
      <c r="L44" s="69" t="str">
        <f t="shared" si="0"/>
        <v>x</v>
      </c>
    </row>
    <row r="45" spans="1:12" x14ac:dyDescent="0.15">
      <c r="A45" s="42">
        <v>33</v>
      </c>
      <c r="B45" s="43">
        <v>42543</v>
      </c>
      <c r="C45" s="44" t="s">
        <v>41</v>
      </c>
      <c r="D45" s="42" t="s">
        <v>52</v>
      </c>
      <c r="E45" s="45" t="s">
        <v>72</v>
      </c>
      <c r="F45" s="46" t="s">
        <v>39</v>
      </c>
      <c r="G45" s="47" t="s">
        <v>54</v>
      </c>
      <c r="H45" s="48"/>
      <c r="I45" s="46" t="s">
        <v>39</v>
      </c>
      <c r="J45" s="49"/>
      <c r="K45" s="57" t="str">
        <f>IF(OR(Resultat!H45="",H45="",Resultat!J45="",J45=""),"",IF((H45=Resultat!H45)*(J45=Resultat!J45),Resultat!$AA$3+Resultat!$AA$4,IF(((H45-J45)&gt;0)*((Resultat!H45-Resultat!J45)&gt;0),Resultat!$AA$3,IF(((H45-J45)&lt;0)*((Resultat!H45-Resultat!J45)&lt;0),Resultat!$AA$3,IF(((H45-J45)=0)*((Resultat!H45-Resultat!J45)=0),Resultat!$AA$3,0)))))</f>
        <v/>
      </c>
      <c r="L45" s="69" t="str">
        <f t="shared" si="0"/>
        <v>x</v>
      </c>
    </row>
    <row r="46" spans="1:12" x14ac:dyDescent="0.15">
      <c r="A46" s="42">
        <v>34</v>
      </c>
      <c r="B46" s="43">
        <v>42543</v>
      </c>
      <c r="C46" s="44" t="s">
        <v>41</v>
      </c>
      <c r="D46" s="42" t="s">
        <v>52</v>
      </c>
      <c r="E46" s="45" t="s">
        <v>73</v>
      </c>
      <c r="F46" s="46" t="s">
        <v>39</v>
      </c>
      <c r="G46" s="47" t="s">
        <v>71</v>
      </c>
      <c r="H46" s="48"/>
      <c r="I46" s="46" t="s">
        <v>39</v>
      </c>
      <c r="J46" s="49"/>
      <c r="K46" s="57" t="str">
        <f>IF(OR(Resultat!H46="",H46="",Resultat!J46="",J46=""),"",IF((H46=Resultat!H46)*(J46=Resultat!J46),Resultat!$AA$3+Resultat!$AA$4,IF(((H46-J46)&gt;0)*((Resultat!H46-Resultat!J46)&gt;0),Resultat!$AA$3,IF(((H46-J46)&lt;0)*((Resultat!H46-Resultat!J46)&lt;0),Resultat!$AA$3,IF(((H46-J46)=0)*((Resultat!H46-Resultat!J46)=0),Resultat!$AA$3,0)))))</f>
        <v/>
      </c>
      <c r="L46" s="69" t="str">
        <f t="shared" si="0"/>
        <v>x</v>
      </c>
    </row>
    <row r="47" spans="1:12" x14ac:dyDescent="0.15">
      <c r="A47" s="42">
        <v>35</v>
      </c>
      <c r="B47" s="43">
        <v>42543</v>
      </c>
      <c r="C47" s="44" t="s">
        <v>42</v>
      </c>
      <c r="D47" s="42" t="s">
        <v>49</v>
      </c>
      <c r="E47" s="45" t="s">
        <v>70</v>
      </c>
      <c r="F47" s="46" t="s">
        <v>39</v>
      </c>
      <c r="G47" s="47" t="s">
        <v>55</v>
      </c>
      <c r="H47" s="48"/>
      <c r="I47" s="46" t="s">
        <v>39</v>
      </c>
      <c r="J47" s="49"/>
      <c r="K47" s="57" t="str">
        <f>IF(OR(Resultat!H47="",H47="",Resultat!J47="",J47=""),"",IF((H47=Resultat!H47)*(J47=Resultat!J47),Resultat!$AA$3+Resultat!$AA$4,IF(((H47-J47)&gt;0)*((Resultat!H47-Resultat!J47)&gt;0),Resultat!$AA$3,IF(((H47-J47)&lt;0)*((Resultat!H47-Resultat!J47)&lt;0),Resultat!$AA$3,IF(((H47-J47)=0)*((Resultat!H47-Resultat!J47)=0),Resultat!$AA$3,0)))))</f>
        <v/>
      </c>
      <c r="L47" s="69" t="str">
        <f t="shared" si="0"/>
        <v>x</v>
      </c>
    </row>
    <row r="48" spans="1:12" ht="14" thickBot="1" x14ac:dyDescent="0.2">
      <c r="A48" s="77">
        <v>36</v>
      </c>
      <c r="B48" s="78">
        <v>42543</v>
      </c>
      <c r="C48" s="79" t="s">
        <v>42</v>
      </c>
      <c r="D48" s="77" t="s">
        <v>49</v>
      </c>
      <c r="E48" s="80" t="s">
        <v>48</v>
      </c>
      <c r="F48" s="81" t="s">
        <v>39</v>
      </c>
      <c r="G48" s="82" t="s">
        <v>69</v>
      </c>
      <c r="H48" s="83"/>
      <c r="I48" s="81" t="s">
        <v>39</v>
      </c>
      <c r="J48" s="84"/>
      <c r="K48" s="85" t="str">
        <f>IF(OR(Resultat!H48="",H48="",Resultat!J48="",J48=""),"",IF((H48=Resultat!H48)*(J48=Resultat!J48),Resultat!$AA$3+Resultat!$AA$4,IF(((H48-J48)&gt;0)*((Resultat!H48-Resultat!J48)&gt;0),Resultat!$AA$3,IF(((H48-J48)&lt;0)*((Resultat!H48-Resultat!J48)&lt;0),Resultat!$AA$3,IF(((H48-J48)=0)*((Resultat!H48-Resultat!J48)=0),Resultat!$AA$3,0)))))</f>
        <v/>
      </c>
      <c r="L48" s="69" t="str">
        <f t="shared" si="0"/>
        <v>x</v>
      </c>
    </row>
    <row r="49" spans="1:12" x14ac:dyDescent="0.15">
      <c r="A49" s="42">
        <v>37</v>
      </c>
      <c r="B49" s="43">
        <v>42546</v>
      </c>
      <c r="C49" s="44" t="s">
        <v>41</v>
      </c>
      <c r="D49" s="70">
        <v>0.125</v>
      </c>
      <c r="E49" s="45"/>
      <c r="F49" s="46" t="s">
        <v>39</v>
      </c>
      <c r="G49" s="47"/>
      <c r="H49" s="48"/>
      <c r="I49" s="46" t="s">
        <v>39</v>
      </c>
      <c r="J49" s="49"/>
      <c r="K49" s="57" t="str">
        <f>IF(OR(Resultat!H49="",H49="",Resultat!J49="",J49=""),"",IF((H49=Resultat!H49)*(J49=Resultat!J49),Resultat!$M$4+Resultat!$AA$4,IF(((H49-J49)&gt;0)*((Resultat!H49-Resultat!J49)&gt;0),Resultat!$M$4,IF(((H49-J49)&lt;0)*((Resultat!H49-Resultat!J49)&lt;0),Resultat!$M$4,IF(((H49-J49)=0)*((Resultat!H49-Resultat!J49)=0),Resultat!$M$4,0)))))</f>
        <v/>
      </c>
      <c r="L49" s="69" t="str">
        <f t="shared" si="0"/>
        <v>x</v>
      </c>
    </row>
    <row r="50" spans="1:12" x14ac:dyDescent="0.15">
      <c r="A50" s="42">
        <v>38</v>
      </c>
      <c r="B50" s="43">
        <v>42546</v>
      </c>
      <c r="C50" s="44" t="s">
        <v>37</v>
      </c>
      <c r="D50" s="70">
        <v>0.125</v>
      </c>
      <c r="E50" s="45"/>
      <c r="F50" s="46" t="s">
        <v>39</v>
      </c>
      <c r="G50" s="47"/>
      <c r="H50" s="48"/>
      <c r="I50" s="46" t="s">
        <v>39</v>
      </c>
      <c r="J50" s="49"/>
      <c r="K50" s="57" t="str">
        <f>IF(OR(Resultat!H50="",H50="",Resultat!J50="",J50=""),"",IF((H50=Resultat!H50)*(J50=Resultat!J50),Resultat!$M$4+Resultat!$AA$4,IF(((H50-J50)&gt;0)*((Resultat!H50-Resultat!J50)&gt;0),Resultat!$M$4,IF(((H50-J50)&lt;0)*((Resultat!H50-Resultat!J50)&lt;0),Resultat!$M$4,IF(((H50-J50)=0)*((Resultat!H50-Resultat!J50)=0),Resultat!$M$4,0)))))</f>
        <v/>
      </c>
      <c r="L50" s="69" t="str">
        <f t="shared" si="0"/>
        <v>x</v>
      </c>
    </row>
    <row r="51" spans="1:12" x14ac:dyDescent="0.15">
      <c r="A51" s="42">
        <v>39</v>
      </c>
      <c r="B51" s="43">
        <v>42546</v>
      </c>
      <c r="C51" s="44" t="s">
        <v>41</v>
      </c>
      <c r="D51" s="70">
        <v>0.125</v>
      </c>
      <c r="E51" s="45"/>
      <c r="F51" s="46" t="s">
        <v>39</v>
      </c>
      <c r="G51" s="47"/>
      <c r="H51" s="48"/>
      <c r="I51" s="46" t="s">
        <v>39</v>
      </c>
      <c r="J51" s="49"/>
      <c r="K51" s="57" t="str">
        <f>IF(OR(Resultat!H51="",H51="",Resultat!J51="",J51=""),"",IF((H51=Resultat!H51)*(J51=Resultat!J51),Resultat!$M$4+Resultat!$AA$4,IF(((H51-J51)&gt;0)*((Resultat!H51-Resultat!J51)&gt;0),Resultat!$M$4,IF(((H51-J51)&lt;0)*((Resultat!H51-Resultat!J51)&lt;0),Resultat!$M$4,IF(((H51-J51)=0)*((Resultat!H51-Resultat!J51)=0),Resultat!$M$4,0)))))</f>
        <v/>
      </c>
      <c r="L51" s="69" t="str">
        <f t="shared" si="0"/>
        <v>x</v>
      </c>
    </row>
    <row r="52" spans="1:12" x14ac:dyDescent="0.15">
      <c r="A52" s="42">
        <v>40</v>
      </c>
      <c r="B52" s="43">
        <v>42547</v>
      </c>
      <c r="C52" s="44" t="s">
        <v>37</v>
      </c>
      <c r="D52" s="70">
        <v>0.125</v>
      </c>
      <c r="E52" s="45"/>
      <c r="F52" s="46" t="s">
        <v>39</v>
      </c>
      <c r="G52" s="47"/>
      <c r="H52" s="48"/>
      <c r="I52" s="46" t="s">
        <v>39</v>
      </c>
      <c r="J52" s="49"/>
      <c r="K52" s="57" t="str">
        <f>IF(OR(Resultat!H52="",H52="",Resultat!J52="",J52=""),"",IF((H52=Resultat!H52)*(J52=Resultat!J52),Resultat!$M$4+Resultat!$AA$4,IF(((H52-J52)&gt;0)*((Resultat!H52-Resultat!J52)&gt;0),Resultat!$M$4,IF(((H52-J52)&lt;0)*((Resultat!H52-Resultat!J52)&lt;0),Resultat!$M$4,IF(((H52-J52)=0)*((Resultat!H52-Resultat!J52)=0),Resultat!$M$4,0)))))</f>
        <v/>
      </c>
      <c r="L52" s="69" t="str">
        <f t="shared" si="0"/>
        <v>x</v>
      </c>
    </row>
    <row r="53" spans="1:12" x14ac:dyDescent="0.15">
      <c r="A53" s="42">
        <v>41</v>
      </c>
      <c r="B53" s="43">
        <v>42547</v>
      </c>
      <c r="C53" s="44" t="s">
        <v>41</v>
      </c>
      <c r="D53" s="70">
        <v>0.125</v>
      </c>
      <c r="E53" s="45"/>
      <c r="F53" s="46" t="s">
        <v>39</v>
      </c>
      <c r="G53" s="47"/>
      <c r="H53" s="48"/>
      <c r="I53" s="46" t="s">
        <v>39</v>
      </c>
      <c r="J53" s="49"/>
      <c r="K53" s="57" t="str">
        <f>IF(OR(Resultat!H53="",H53="",Resultat!J53="",J53=""),"",IF((H53=Resultat!H53)*(J53=Resultat!J53),Resultat!$M$4+Resultat!$AA$4,IF(((H53-J53)&gt;0)*((Resultat!H53-Resultat!J53)&gt;0),Resultat!$M$4,IF(((H53-J53)&lt;0)*((Resultat!H53-Resultat!J53)&lt;0),Resultat!$M$4,IF(((H53-J53)=0)*((Resultat!H53-Resultat!J53)=0),Resultat!$M$4,0)))))</f>
        <v/>
      </c>
      <c r="L53" s="69" t="str">
        <f t="shared" si="0"/>
        <v>x</v>
      </c>
    </row>
    <row r="54" spans="1:12" x14ac:dyDescent="0.15">
      <c r="A54" s="42">
        <v>42</v>
      </c>
      <c r="B54" s="43">
        <v>42547</v>
      </c>
      <c r="C54" s="44" t="s">
        <v>37</v>
      </c>
      <c r="D54" s="70">
        <v>0.125</v>
      </c>
      <c r="E54" s="45"/>
      <c r="F54" s="46" t="s">
        <v>39</v>
      </c>
      <c r="G54" s="47"/>
      <c r="H54" s="48"/>
      <c r="I54" s="46" t="s">
        <v>39</v>
      </c>
      <c r="J54" s="49"/>
      <c r="K54" s="57" t="str">
        <f>IF(OR(Resultat!H54="",H54="",Resultat!J54="",J54=""),"",IF((H54=Resultat!H54)*(J54=Resultat!J54),Resultat!$M$4+Resultat!$AA$4,IF(((H54-J54)&gt;0)*((Resultat!H54-Resultat!J54)&gt;0),Resultat!$M$4,IF(((H54-J54)&lt;0)*((Resultat!H54-Resultat!J54)&lt;0),Resultat!$M$4,IF(((H54-J54)=0)*((Resultat!H54-Resultat!J54)=0),Resultat!$M$4,0)))))</f>
        <v/>
      </c>
      <c r="L54" s="69" t="str">
        <f t="shared" si="0"/>
        <v>x</v>
      </c>
    </row>
    <row r="55" spans="1:12" x14ac:dyDescent="0.15">
      <c r="A55" s="42">
        <v>43</v>
      </c>
      <c r="B55" s="43">
        <v>42548</v>
      </c>
      <c r="C55" s="44" t="s">
        <v>41</v>
      </c>
      <c r="D55" s="70">
        <v>0.125</v>
      </c>
      <c r="E55" s="45"/>
      <c r="F55" s="46" t="s">
        <v>39</v>
      </c>
      <c r="G55" s="47"/>
      <c r="H55" s="48"/>
      <c r="I55" s="46" t="s">
        <v>39</v>
      </c>
      <c r="J55" s="49"/>
      <c r="K55" s="57" t="str">
        <f>IF(OR(Resultat!H55="",H55="",Resultat!J55="",J55=""),"",IF((H55=Resultat!H55)*(J55=Resultat!J55),Resultat!$M$4+Resultat!$AA$4,IF(((H55-J55)&gt;0)*((Resultat!H55-Resultat!J55)&gt;0),Resultat!$M$4,IF(((H55-J55)&lt;0)*((Resultat!H55-Resultat!J55)&lt;0),Resultat!$M$4,IF(((H55-J55)=0)*((Resultat!H55-Resultat!J55)=0),Resultat!$M$4,0)))))</f>
        <v/>
      </c>
      <c r="L55" s="69" t="str">
        <f t="shared" si="0"/>
        <v>x</v>
      </c>
    </row>
    <row r="56" spans="1:12" x14ac:dyDescent="0.15">
      <c r="A56" s="42">
        <v>44</v>
      </c>
      <c r="B56" s="43">
        <v>42548</v>
      </c>
      <c r="C56" s="44" t="s">
        <v>37</v>
      </c>
      <c r="D56" s="70">
        <v>0.125</v>
      </c>
      <c r="E56" s="45"/>
      <c r="F56" s="46" t="s">
        <v>39</v>
      </c>
      <c r="G56" s="47"/>
      <c r="H56" s="48"/>
      <c r="I56" s="46" t="s">
        <v>39</v>
      </c>
      <c r="J56" s="49"/>
      <c r="K56" s="57" t="str">
        <f>IF(OR(Resultat!H56="",H56="",Resultat!J56="",J56=""),"",IF((H56=Resultat!H56)*(J56=Resultat!J56),Resultat!$M$4+Resultat!$AA$4,IF(((H56-J56)&gt;0)*((Resultat!H56-Resultat!J56)&gt;0),Resultat!$M$4,IF(((H56-J56)&lt;0)*((Resultat!H56-Resultat!J56)&lt;0),Resultat!$M$4,IF(((H56-J56)=0)*((Resultat!H56-Resultat!J56)=0),Resultat!$M$4,0)))))</f>
        <v/>
      </c>
      <c r="L56" s="69" t="str">
        <f t="shared" si="0"/>
        <v>x</v>
      </c>
    </row>
    <row r="57" spans="1:12" x14ac:dyDescent="0.15">
      <c r="A57" s="42">
        <v>45</v>
      </c>
      <c r="B57" s="43">
        <v>42551</v>
      </c>
      <c r="C57" s="44" t="s">
        <v>37</v>
      </c>
      <c r="D57" s="70">
        <v>0.25</v>
      </c>
      <c r="E57" s="45" t="str">
        <f>IF(J49="","",IF(H49&gt;J49,E49,G49))</f>
        <v/>
      </c>
      <c r="F57" s="46" t="s">
        <v>39</v>
      </c>
      <c r="G57" s="47" t="str">
        <f>IF(J51="","",IF(H51&gt;J51,E51,G51))</f>
        <v/>
      </c>
      <c r="H57" s="48"/>
      <c r="I57" s="46" t="s">
        <v>39</v>
      </c>
      <c r="J57" s="49"/>
      <c r="K57" s="57" t="str">
        <f>IF(OR(Resultat!H57="",H57="",Resultat!J57="",J57=""),"",IF((H57=Resultat!H57)*(J57=Resultat!J57),Resultat!$M$5+Resultat!$AA$4,IF(((H57-J57)&gt;0)*((Resultat!H57-Resultat!J57)&gt;0),Resultat!$M$5,IF(((H57-J57)&lt;0)*((Resultat!H57-Resultat!J57)&lt;0),Resultat!$M$5,IF(((H57-J57)=0)*((Resultat!H57-Resultat!J57)=0),Resultat!$M$5,0)))))</f>
        <v/>
      </c>
      <c r="L57" s="69" t="str">
        <f t="shared" si="0"/>
        <v>x</v>
      </c>
    </row>
    <row r="58" spans="1:12" x14ac:dyDescent="0.15">
      <c r="A58" s="42">
        <v>46</v>
      </c>
      <c r="B58" s="43">
        <v>42552</v>
      </c>
      <c r="C58" s="44" t="s">
        <v>41</v>
      </c>
      <c r="D58" s="70">
        <v>0.25</v>
      </c>
      <c r="E58" s="45" t="str">
        <f>IF(J50="","",IF(H50&gt;J50,E50,G50))</f>
        <v/>
      </c>
      <c r="F58" s="46" t="s">
        <v>39</v>
      </c>
      <c r="G58" s="47" t="str">
        <f>IF(J54="","",IF(H54&gt;J54,E54,G54))</f>
        <v/>
      </c>
      <c r="H58" s="48"/>
      <c r="I58" s="46" t="s">
        <v>39</v>
      </c>
      <c r="J58" s="49"/>
      <c r="K58" s="57" t="str">
        <f>IF(OR(Resultat!H58="",H58="",Resultat!J58="",J58=""),"",IF((H58=Resultat!H58)*(J58=Resultat!J58),Resultat!$M$5+Resultat!$AA$4,IF(((H58-J58)&gt;0)*((Resultat!H58-Resultat!J58)&gt;0),Resultat!$M$5,IF(((H58-J58)&lt;0)*((Resultat!H58-Resultat!J58)&lt;0),Resultat!$M$5,IF(((H58-J58)=0)*((Resultat!H58-Resultat!J58)=0),Resultat!$M$5,0)))))</f>
        <v/>
      </c>
      <c r="L58" s="69" t="str">
        <f t="shared" si="0"/>
        <v>x</v>
      </c>
    </row>
    <row r="59" spans="1:12" x14ac:dyDescent="0.15">
      <c r="A59" s="42">
        <v>47</v>
      </c>
      <c r="B59" s="43">
        <v>42553</v>
      </c>
      <c r="C59" s="44" t="s">
        <v>37</v>
      </c>
      <c r="D59" s="70">
        <v>0.25</v>
      </c>
      <c r="E59" s="45" t="str">
        <f>IF(J53="","",IF(H53&gt;J53,E53,G53))</f>
        <v/>
      </c>
      <c r="F59" s="46" t="s">
        <v>39</v>
      </c>
      <c r="G59" s="47" t="str">
        <f>IF(J55="","",IF(H55&gt;J55,E55,G55))</f>
        <v/>
      </c>
      <c r="H59" s="48"/>
      <c r="I59" s="46" t="s">
        <v>39</v>
      </c>
      <c r="J59" s="49"/>
      <c r="K59" s="57" t="str">
        <f>IF(OR(Resultat!H59="",H59="",Resultat!J59="",J59=""),"",IF((H59=Resultat!H59)*(J59=Resultat!J59),Resultat!$M$5+Resultat!$AA$4,IF(((H59-J59)&gt;0)*((Resultat!H59-Resultat!J59)&gt;0),Resultat!$M$5,IF(((H59-J59)&lt;0)*((Resultat!H59-Resultat!J59)&lt;0),Resultat!$M$5,IF(((H59-J59)=0)*((Resultat!H59-Resultat!J59)=0),Resultat!$M$5,0)))))</f>
        <v/>
      </c>
      <c r="L59" s="69" t="str">
        <f t="shared" si="0"/>
        <v>x</v>
      </c>
    </row>
    <row r="60" spans="1:12" x14ac:dyDescent="0.15">
      <c r="A60" s="42">
        <v>48</v>
      </c>
      <c r="B60" s="43">
        <v>42554</v>
      </c>
      <c r="C60" s="44" t="s">
        <v>41</v>
      </c>
      <c r="D60" s="70">
        <v>0.25</v>
      </c>
      <c r="E60" s="45" t="str">
        <f>IF(J52="","",IF(H52&gt;J52,E52,G52))</f>
        <v/>
      </c>
      <c r="F60" s="46" t="s">
        <v>39</v>
      </c>
      <c r="G60" s="47" t="str">
        <f>IF(J56="","",IF(H56&gt;J56,E56,G56))</f>
        <v/>
      </c>
      <c r="H60" s="48"/>
      <c r="I60" s="46" t="s">
        <v>39</v>
      </c>
      <c r="J60" s="49"/>
      <c r="K60" s="57" t="str">
        <f>IF(OR(Resultat!H60="",H60="",Resultat!J60="",J60=""),"",IF((H60=Resultat!H60)*(J60=Resultat!J60),Resultat!$M$5+Resultat!$AA$4,IF(((H60-J60)&gt;0)*((Resultat!H60-Resultat!J60)&gt;0),Resultat!$M$5,IF(((H60-J60)&lt;0)*((Resultat!H60-Resultat!J60)&lt;0),Resultat!$M$5,IF(((H60-J60)=0)*((Resultat!H60-Resultat!J60)=0),Resultat!$M$5,0)))))</f>
        <v/>
      </c>
      <c r="L60" s="69" t="str">
        <f t="shared" si="0"/>
        <v>x</v>
      </c>
    </row>
    <row r="61" spans="1:12" x14ac:dyDescent="0.15">
      <c r="A61" s="42">
        <v>49</v>
      </c>
      <c r="B61" s="43">
        <v>42557</v>
      </c>
      <c r="C61" s="44" t="s">
        <v>37</v>
      </c>
      <c r="D61" s="70" t="s">
        <v>57</v>
      </c>
      <c r="E61" s="45" t="str">
        <f>IF(J57="","",IF(H57&gt;J57,E57,G57))</f>
        <v/>
      </c>
      <c r="F61" s="46" t="s">
        <v>39</v>
      </c>
      <c r="G61" s="47" t="str">
        <f>IF(J58="","",IF(H58&gt;J58,E58,G58))</f>
        <v/>
      </c>
      <c r="H61" s="48"/>
      <c r="I61" s="46" t="s">
        <v>39</v>
      </c>
      <c r="J61" s="49"/>
      <c r="K61" s="57" t="str">
        <f>IF(OR(Resultat!H61="",H61="",Resultat!J61="",J61=""),"",IF((H61=Resultat!H61)*(J61=Resultat!J61),Resultat!$M$6+Resultat!$AA$4,IF(((H61-J61)&gt;0)*((Resultat!H61-Resultat!J61)&gt;0),Resultat!$M$6,IF(((H61-J61)&lt;0)*((Resultat!H61-Resultat!J61)&lt;0),Resultat!$M$6,IF(((H61-J61)=0)*((Resultat!H61-Resultat!J61)=0),Resultat!$M$6,0)))))</f>
        <v/>
      </c>
      <c r="L61" s="69" t="str">
        <f t="shared" si="0"/>
        <v>x</v>
      </c>
    </row>
    <row r="62" spans="1:12" x14ac:dyDescent="0.15">
      <c r="A62" s="42">
        <v>50</v>
      </c>
      <c r="B62" s="43">
        <v>42558</v>
      </c>
      <c r="C62" s="44" t="s">
        <v>37</v>
      </c>
      <c r="D62" s="70" t="s">
        <v>58</v>
      </c>
      <c r="E62" s="45" t="str">
        <f>IF(J59="","",IF(H59&gt;J59,E59,G59))</f>
        <v/>
      </c>
      <c r="F62" s="46" t="s">
        <v>39</v>
      </c>
      <c r="G62" s="47" t="str">
        <f>IF(J60="","",IF(H60&gt;J60,E60,G60))</f>
        <v/>
      </c>
      <c r="H62" s="48"/>
      <c r="I62" s="46" t="s">
        <v>39</v>
      </c>
      <c r="J62" s="49"/>
      <c r="K62" s="57" t="str">
        <f>IF(OR(Resultat!H62="",H62="",Resultat!J62="",J62=""),"",IF((H62=Resultat!H62)*(J62=Resultat!J62),Resultat!$M$6+Resultat!$AA$4,IF(((H62-J62)&gt;0)*((Resultat!H62-Resultat!J62)&gt;0),Resultat!$M$6,IF(((H62-J62)&lt;0)*((Resultat!H62-Resultat!J62)&lt;0),Resultat!$M$6,IF(((H62-J62)=0)*((Resultat!H62-Resultat!J62)=0),Resultat!$M$6,0)))))</f>
        <v/>
      </c>
      <c r="L62" s="69" t="str">
        <f t="shared" si="0"/>
        <v>x</v>
      </c>
    </row>
    <row r="63" spans="1:12" x14ac:dyDescent="0.15">
      <c r="A63" s="42">
        <v>51</v>
      </c>
      <c r="B63" s="43">
        <v>42561</v>
      </c>
      <c r="C63" s="44" t="s">
        <v>42</v>
      </c>
      <c r="D63" s="70" t="s">
        <v>23</v>
      </c>
      <c r="E63" s="45" t="str">
        <f>IF(J61="","",IF(H61&gt;J61,E61,G61))</f>
        <v/>
      </c>
      <c r="F63" s="46" t="s">
        <v>39</v>
      </c>
      <c r="G63" s="47" t="str">
        <f>IF(J62="","",IF(H62&gt;J62,E62,G62))</f>
        <v/>
      </c>
      <c r="H63" s="48"/>
      <c r="I63" s="46" t="s">
        <v>39</v>
      </c>
      <c r="J63" s="49"/>
      <c r="K63" s="57" t="str">
        <f>IF(OR(Resultat!H63="",H63="",Resultat!J63="",J63=""),"",IF((H63=Resultat!H63)*(J63=Resultat!J63),Resultat!$AA$3+Resultat!$AA$4,IF(((H63-J63)&gt;0)*((Resultat!H63-Resultat!J63)&gt;0),Resultat!$AA$3,IF(((H63-J63)&lt;0)*((Resultat!H63-Resultat!J63)&lt;0),Resultat!$AA$3,IF(((H63-J63)=0)*((Resultat!H63-Resultat!J63)=0),Resultat!$AA$3,0)))))</f>
        <v/>
      </c>
      <c r="L63" s="69" t="str">
        <f t="shared" si="0"/>
        <v>x</v>
      </c>
    </row>
    <row r="75" spans="1:1" x14ac:dyDescent="0.15">
      <c r="A75" s="51"/>
    </row>
    <row r="76" spans="1:1" x14ac:dyDescent="0.15">
      <c r="A76" s="51"/>
    </row>
    <row r="77" spans="1:1" x14ac:dyDescent="0.15">
      <c r="A77" s="51"/>
    </row>
  </sheetData>
  <sheetProtection formatCells="0" formatColumns="0" formatRows="0" insertColumns="0" insertRows="0" insertHyperlinks="0" deleteColumns="0" deleteRows="0" sort="0" autoFilter="0" pivotTables="0"/>
  <mergeCells count="3">
    <mergeCell ref="H1:J1"/>
    <mergeCell ref="E12:G12"/>
    <mergeCell ref="H12:J12"/>
  </mergeCells>
  <phoneticPr fontId="15" type="noConversion"/>
  <conditionalFormatting sqref="A14:B14 B15:B16 D14:G14 I14 K33:K63">
    <cfRule type="expression" dxfId="75" priority="36">
      <formula>$H14&lt;&gt;""</formula>
    </cfRule>
  </conditionalFormatting>
  <conditionalFormatting sqref="A15 D15:G15 I15">
    <cfRule type="expression" dxfId="74" priority="35">
      <formula>$H15&lt;&gt;""</formula>
    </cfRule>
  </conditionalFormatting>
  <conditionalFormatting sqref="A16 D16:G16 I16">
    <cfRule type="expression" dxfId="73" priority="34">
      <formula>$H16&lt;&gt;""</formula>
    </cfRule>
  </conditionalFormatting>
  <conditionalFormatting sqref="A17:G17 B18:B48 C18 I17">
    <cfRule type="expression" dxfId="72" priority="33">
      <formula>$H17&lt;&gt;""</formula>
    </cfRule>
  </conditionalFormatting>
  <conditionalFormatting sqref="A18 D18:G18 I18">
    <cfRule type="expression" dxfId="71" priority="32">
      <formula>$H18&lt;&gt;""</formula>
    </cfRule>
  </conditionalFormatting>
  <conditionalFormatting sqref="A19 C19:G19 C20:C22 I19">
    <cfRule type="expression" dxfId="70" priority="31">
      <formula>$H19&lt;&gt;""</formula>
    </cfRule>
  </conditionalFormatting>
  <conditionalFormatting sqref="A20 D20:G20 I20">
    <cfRule type="expression" dxfId="69" priority="30">
      <formula>$H20&lt;&gt;""</formula>
    </cfRule>
  </conditionalFormatting>
  <conditionalFormatting sqref="A21 D21:G21 I21">
    <cfRule type="expression" dxfId="68" priority="29">
      <formula>$H21&lt;&gt;""</formula>
    </cfRule>
  </conditionalFormatting>
  <conditionalFormatting sqref="A22 D22:G22 I22">
    <cfRule type="expression" dxfId="67" priority="28">
      <formula>$H22&lt;&gt;""</formula>
    </cfRule>
  </conditionalFormatting>
  <conditionalFormatting sqref="A23 C23:G23 I23">
    <cfRule type="expression" dxfId="66" priority="27">
      <formula>$H23&lt;&gt;""</formula>
    </cfRule>
  </conditionalFormatting>
  <conditionalFormatting sqref="A24 C24:G24 I24">
    <cfRule type="expression" dxfId="65" priority="26">
      <formula>$H24&lt;&gt;""</formula>
    </cfRule>
  </conditionalFormatting>
  <conditionalFormatting sqref="A25 C25:G25 I25">
    <cfRule type="expression" dxfId="64" priority="25">
      <formula>$H25&lt;&gt;""</formula>
    </cfRule>
  </conditionalFormatting>
  <conditionalFormatting sqref="A26 C26:G26 I26">
    <cfRule type="expression" dxfId="63" priority="24">
      <formula>$H26&lt;&gt;""</formula>
    </cfRule>
  </conditionalFormatting>
  <conditionalFormatting sqref="A27 C27:G27 I27">
    <cfRule type="expression" dxfId="62" priority="23">
      <formula>$H27&lt;&gt;""</formula>
    </cfRule>
  </conditionalFormatting>
  <conditionalFormatting sqref="A28 C28:G28 I28">
    <cfRule type="expression" dxfId="61" priority="22">
      <formula>$H28&lt;&gt;""</formula>
    </cfRule>
  </conditionalFormatting>
  <conditionalFormatting sqref="A29 C29:G29 I29">
    <cfRule type="expression" dxfId="60" priority="21">
      <formula>$H29&lt;&gt;""</formula>
    </cfRule>
  </conditionalFormatting>
  <conditionalFormatting sqref="A30 C30:G30 I30">
    <cfRule type="expression" dxfId="59" priority="20">
      <formula>$H30&lt;&gt;""</formula>
    </cfRule>
  </conditionalFormatting>
  <conditionalFormatting sqref="A31 C31:G31 I31">
    <cfRule type="expression" dxfId="58" priority="19">
      <formula>$H31&lt;&gt;""</formula>
    </cfRule>
  </conditionalFormatting>
  <conditionalFormatting sqref="A32 C32:G32 I32">
    <cfRule type="expression" dxfId="57" priority="18">
      <formula>$H32&lt;&gt;""</formula>
    </cfRule>
  </conditionalFormatting>
  <conditionalFormatting sqref="A33 C33:G33 I33">
    <cfRule type="expression" dxfId="56" priority="17">
      <formula>$H33&lt;&gt;""</formula>
    </cfRule>
  </conditionalFormatting>
  <conditionalFormatting sqref="A34 C34:G34 I34">
    <cfRule type="expression" dxfId="55" priority="16">
      <formula>$H34&lt;&gt;""</formula>
    </cfRule>
  </conditionalFormatting>
  <conditionalFormatting sqref="A35 C35:G35 I35">
    <cfRule type="expression" dxfId="54" priority="15">
      <formula>$H35&lt;&gt;""</formula>
    </cfRule>
  </conditionalFormatting>
  <conditionalFormatting sqref="A36 C36:G36 I36">
    <cfRule type="expression" dxfId="53" priority="14">
      <formula>$H36&lt;&gt;""</formula>
    </cfRule>
  </conditionalFormatting>
  <conditionalFormatting sqref="A37 C37:G37 I37">
    <cfRule type="expression" dxfId="52" priority="13">
      <formula>$H37&lt;&gt;""</formula>
    </cfRule>
  </conditionalFormatting>
  <conditionalFormatting sqref="A38 C38:G38 I38">
    <cfRule type="expression" dxfId="51" priority="12">
      <formula>$H38&lt;&gt;""</formula>
    </cfRule>
  </conditionalFormatting>
  <conditionalFormatting sqref="A39 C39:G39 I39">
    <cfRule type="expression" dxfId="50" priority="11">
      <formula>$H39&lt;&gt;""</formula>
    </cfRule>
  </conditionalFormatting>
  <conditionalFormatting sqref="A40 C40:G40 I40">
    <cfRule type="expression" dxfId="49" priority="10">
      <formula>$H40&lt;&gt;""</formula>
    </cfRule>
  </conditionalFormatting>
  <conditionalFormatting sqref="A41 C41:G41 I41">
    <cfRule type="expression" dxfId="48" priority="9">
      <formula>$H41&lt;&gt;""</formula>
    </cfRule>
  </conditionalFormatting>
  <conditionalFormatting sqref="A42 C42:G42 I42">
    <cfRule type="expression" dxfId="47" priority="8">
      <formula>$H42&lt;&gt;""</formula>
    </cfRule>
  </conditionalFormatting>
  <conditionalFormatting sqref="A43 C43:G43 I43">
    <cfRule type="expression" dxfId="46" priority="7">
      <formula>$H43&lt;&gt;""</formula>
    </cfRule>
  </conditionalFormatting>
  <conditionalFormatting sqref="A44 C44:G44 I44">
    <cfRule type="expression" dxfId="45" priority="6">
      <formula>$H44&lt;&gt;""</formula>
    </cfRule>
  </conditionalFormatting>
  <conditionalFormatting sqref="A45 C45:G45 I45">
    <cfRule type="expression" dxfId="44" priority="5">
      <formula>$H45&lt;&gt;""</formula>
    </cfRule>
  </conditionalFormatting>
  <conditionalFormatting sqref="A46 C46:G46 I46">
    <cfRule type="expression" dxfId="43" priority="4">
      <formula>$H46&lt;&gt;""</formula>
    </cfRule>
  </conditionalFormatting>
  <conditionalFormatting sqref="A47 C47:G47 I47">
    <cfRule type="expression" dxfId="42" priority="3">
      <formula>$H47&lt;&gt;""</formula>
    </cfRule>
  </conditionalFormatting>
  <conditionalFormatting sqref="A48 C48:G48 I48">
    <cfRule type="expression" dxfId="41" priority="2">
      <formula>$H48&lt;&gt;""</formula>
    </cfRule>
  </conditionalFormatting>
  <conditionalFormatting sqref="A13:J13 C14:C16 H14:H48 J32:K32 J14:J31 K13:K31 J33:J48">
    <cfRule type="expression" dxfId="40" priority="1">
      <formula>$H13&lt;&gt;""</formula>
    </cfRule>
  </conditionalFormatting>
  <pageMargins left="0.7" right="0.7" top="0.75" bottom="0.75" header="0.3" footer="0.3"/>
  <pageSetup paperSize="9" orientation="landscape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Kalkylblad</vt:lpstr>
      </vt:variant>
      <vt:variant>
        <vt:i4>10</vt:i4>
      </vt:variant>
      <vt:variant>
        <vt:lpstr>Diagram</vt:lpstr>
      </vt:variant>
      <vt:variant>
        <vt:i4>2</vt:i4>
      </vt:variant>
    </vt:vector>
  </HeadingPairs>
  <TitlesOfParts>
    <vt:vector size="12" baseType="lpstr">
      <vt:lpstr>Resultat</vt:lpstr>
      <vt:lpstr>Grupper</vt:lpstr>
      <vt:lpstr>Sortering</vt:lpstr>
      <vt:lpstr>Tabeller</vt:lpstr>
      <vt:lpstr>Jocke</vt:lpstr>
      <vt:lpstr>Markus</vt:lpstr>
      <vt:lpstr>Rickard</vt:lpstr>
      <vt:lpstr>Tomas</vt:lpstr>
      <vt:lpstr>Kalle</vt:lpstr>
      <vt:lpstr>Mall</vt:lpstr>
      <vt:lpstr>Poängställning</vt:lpstr>
      <vt:lpstr>Placering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Office-användare</dc:creator>
  <cp:lastModifiedBy>Microsoft Office-användare</cp:lastModifiedBy>
  <dcterms:created xsi:type="dcterms:W3CDTF">2016-01-17T10:21:08Z</dcterms:created>
  <dcterms:modified xsi:type="dcterms:W3CDTF">2016-01-30T19:54:19Z</dcterms:modified>
</cp:coreProperties>
</file>